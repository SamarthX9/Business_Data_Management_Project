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IT MADRAS IMP DOCS\BDM Proj. (reso)\"/>
    </mc:Choice>
  </mc:AlternateContent>
  <xr:revisionPtr revIDLastSave="0" documentId="8_{273C8222-66C9-4B6A-A365-872FA37539A4}" xr6:coauthVersionLast="47" xr6:coauthVersionMax="47" xr10:uidLastSave="{00000000-0000-0000-0000-000000000000}"/>
  <bookViews>
    <workbookView xWindow="795" yWindow="180" windowWidth="27525" windowHeight="15465" firstSheet="15" activeTab="20" xr2:uid="{36C36AC8-2FAF-4CF6-8F6F-071186C4DEE2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Units Sold vs Units Purchased" sheetId="32" r:id="rId7"/>
    <sheet name="Monthly purchase by category" sheetId="22" r:id="rId8"/>
    <sheet name="Monthly sales trends" sheetId="16" r:id="rId9"/>
    <sheet name="Top selling Products" sheetId="19" r:id="rId10"/>
    <sheet name="Monthy closing stock" sheetId="31" r:id="rId11"/>
    <sheet name="Cummulative sales" sheetId="30" r:id="rId12"/>
    <sheet name="Average Profit Margin" sheetId="29" r:id="rId13"/>
    <sheet name="Inventory Sales" sheetId="13" r:id="rId14"/>
    <sheet name="Stock out" sheetId="15" r:id="rId15"/>
    <sheet name="ABC analysis" sheetId="12" r:id="rId16"/>
    <sheet name="Highest selling" sheetId="8" r:id="rId17"/>
    <sheet name="Turnover Ratio" sheetId="17" r:id="rId18"/>
    <sheet name="Units sold vs Selling price" sheetId="18" r:id="rId19"/>
    <sheet name="Profit Contribution" sheetId="20" r:id="rId20"/>
    <sheet name="Seasonal Demands" sheetId="21" r:id="rId21"/>
  </sheets>
  <definedNames>
    <definedName name="_xlnm._FilterDatabase" localSheetId="15" hidden="1">'ABC analysis'!$B$1:$B$19</definedName>
    <definedName name="_xlnm._FilterDatabase" localSheetId="3" hidden="1">April!$A$1:$K$1</definedName>
    <definedName name="_xlnm._FilterDatabase" localSheetId="12" hidden="1">'Average Profit Margin'!$I$23:$J$33</definedName>
    <definedName name="_xlnm._FilterDatabase" localSheetId="1" hidden="1">February!$A$1:$K$1</definedName>
    <definedName name="_xlnm._FilterDatabase" localSheetId="0" hidden="1">January!$A$1:$K$1</definedName>
    <definedName name="_xlnm._FilterDatabase" localSheetId="5" hidden="1">June!$A$1:$J$1</definedName>
    <definedName name="_xlnm._FilterDatabase" localSheetId="2" hidden="1">March!$A$1:$K$1</definedName>
    <definedName name="_xlnm._FilterDatabase" localSheetId="4" hidden="1">May!$A$1:$J$1</definedName>
    <definedName name="_xlchart.v1.0" hidden="1">May!$A$2:$A$16</definedName>
    <definedName name="_xlchart.v1.1" hidden="1">May!$B$1</definedName>
    <definedName name="_xlchart.v1.10" hidden="1">May!$F$2:$F$16</definedName>
    <definedName name="_xlchart.v1.11" hidden="1">May!$G$1</definedName>
    <definedName name="_xlchart.v1.12" hidden="1">May!$G$2:$G$16</definedName>
    <definedName name="_xlchart.v1.13" hidden="1">May!$H$1</definedName>
    <definedName name="_xlchart.v1.14" hidden="1">May!$H$2:$H$16</definedName>
    <definedName name="_xlchart.v1.15" hidden="1">May!$I$1</definedName>
    <definedName name="_xlchart.v1.16" hidden="1">May!$I$2:$I$16</definedName>
    <definedName name="_xlchart.v1.17" hidden="1">May!$J$1</definedName>
    <definedName name="_xlchart.v1.18" hidden="1">May!$J$2:$J$16</definedName>
    <definedName name="_xlchart.v1.2" hidden="1">May!$B$2:$B$16</definedName>
    <definedName name="_xlchart.v1.3" hidden="1">May!$C$1</definedName>
    <definedName name="_xlchart.v1.4" hidden="1">May!$C$2:$C$16</definedName>
    <definedName name="_xlchart.v1.5" hidden="1">May!$D$1</definedName>
    <definedName name="_xlchart.v1.6" hidden="1">May!$D$2:$D$16</definedName>
    <definedName name="_xlchart.v1.7" hidden="1">May!$E$1</definedName>
    <definedName name="_xlchart.v1.8" hidden="1">May!$E$2:$E$16</definedName>
    <definedName name="_xlchart.v1.9" hidden="1">May!$F$1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20" l="1"/>
  <c r="B25" i="16"/>
  <c r="B20" i="22"/>
  <c r="C20" i="22"/>
  <c r="D20" i="22"/>
  <c r="E20" i="22"/>
  <c r="F20" i="22"/>
  <c r="G20" i="2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46" i="32"/>
  <c r="A46" i="32" a="1"/>
  <c r="A46" i="32" s="1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25" i="32"/>
  <c r="A25" i="32" a="1"/>
  <c r="A25" i="32" s="1"/>
  <c r="A3" i="32" a="1"/>
  <c r="A3" i="32" s="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3" i="3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3" i="31"/>
  <c r="A3" i="31" a="1"/>
  <c r="A3" i="31" s="1"/>
  <c r="A26" i="30" a="1"/>
  <c r="A26" i="30" s="1"/>
  <c r="B17" i="30"/>
  <c r="A3" i="30" a="1"/>
  <c r="A3" i="30" s="1"/>
  <c r="G3" i="30" s="1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24" i="29"/>
  <c r="AC4" i="29"/>
  <c r="AC5" i="29"/>
  <c r="AC6" i="29"/>
  <c r="AC7" i="29"/>
  <c r="AC8" i="29"/>
  <c r="AC9" i="29"/>
  <c r="AC10" i="29"/>
  <c r="AC11" i="29"/>
  <c r="AC12" i="29"/>
  <c r="AC13" i="29"/>
  <c r="AC14" i="29"/>
  <c r="AC15" i="29"/>
  <c r="AC16" i="29"/>
  <c r="AC17" i="29"/>
  <c r="AC18" i="29"/>
  <c r="AC19" i="29"/>
  <c r="AC20" i="29"/>
  <c r="AC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3" i="29"/>
  <c r="AA4" i="29"/>
  <c r="AA5" i="29"/>
  <c r="AA6" i="29"/>
  <c r="AA7" i="29"/>
  <c r="AA8" i="29"/>
  <c r="AA9" i="29"/>
  <c r="AA10" i="29"/>
  <c r="AA11" i="29"/>
  <c r="AA12" i="29"/>
  <c r="AA13" i="29"/>
  <c r="AA14" i="29"/>
  <c r="AA15" i="29"/>
  <c r="AA16" i="29"/>
  <c r="AA17" i="29"/>
  <c r="AA18" i="29"/>
  <c r="AA19" i="29"/>
  <c r="AA20" i="29"/>
  <c r="AA3" i="29"/>
  <c r="Z4" i="29"/>
  <c r="Z5" i="29"/>
  <c r="Z6" i="29"/>
  <c r="Z7" i="29"/>
  <c r="Z8" i="29"/>
  <c r="Z9" i="29"/>
  <c r="Z10" i="29"/>
  <c r="Z11" i="29"/>
  <c r="Z12" i="29"/>
  <c r="Z13" i="29"/>
  <c r="Z14" i="29"/>
  <c r="Z15" i="29"/>
  <c r="Z16" i="29"/>
  <c r="Z17" i="29"/>
  <c r="Z18" i="29"/>
  <c r="Z19" i="29"/>
  <c r="Z20" i="29"/>
  <c r="Z3" i="29"/>
  <c r="Y4" i="29"/>
  <c r="Y5" i="29"/>
  <c r="Y6" i="29"/>
  <c r="Y7" i="29"/>
  <c r="Y8" i="29"/>
  <c r="Y9" i="29"/>
  <c r="Y10" i="29"/>
  <c r="Y11" i="29"/>
  <c r="Y12" i="29"/>
  <c r="Y13" i="29"/>
  <c r="Y14" i="29"/>
  <c r="Y15" i="29"/>
  <c r="Y16" i="29"/>
  <c r="Y17" i="29"/>
  <c r="Y18" i="29"/>
  <c r="Y19" i="29"/>
  <c r="Y20" i="29"/>
  <c r="Y3" i="29"/>
  <c r="X4" i="29"/>
  <c r="X5" i="29"/>
  <c r="X6" i="29"/>
  <c r="X7" i="29"/>
  <c r="X8" i="29"/>
  <c r="X9" i="29"/>
  <c r="X10" i="29"/>
  <c r="X11" i="29"/>
  <c r="X12" i="29"/>
  <c r="X13" i="29"/>
  <c r="X14" i="29"/>
  <c r="X15" i="29"/>
  <c r="X16" i="29"/>
  <c r="X17" i="29"/>
  <c r="X18" i="29"/>
  <c r="X19" i="29"/>
  <c r="X20" i="29"/>
  <c r="X3" i="29"/>
  <c r="W3" i="29" a="1"/>
  <c r="W3" i="29" s="1"/>
  <c r="A24" i="29" a="1"/>
  <c r="A24" i="29" s="1"/>
  <c r="S4" i="29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3" i="29"/>
  <c r="R4" i="29"/>
  <c r="R5" i="29"/>
  <c r="R6" i="29"/>
  <c r="R7" i="29"/>
  <c r="R8" i="29"/>
  <c r="R9" i="29"/>
  <c r="R10" i="29"/>
  <c r="R11" i="29"/>
  <c r="R12" i="29"/>
  <c r="R13" i="29"/>
  <c r="R14" i="29"/>
  <c r="R15" i="29"/>
  <c r="R16" i="29"/>
  <c r="R17" i="29"/>
  <c r="R18" i="29"/>
  <c r="R19" i="29"/>
  <c r="R20" i="29"/>
  <c r="R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3" i="29"/>
  <c r="N4" i="29"/>
  <c r="N5" i="29"/>
  <c r="N6" i="29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3" i="29"/>
  <c r="M3" i="29" a="1"/>
  <c r="M3" i="29" s="1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3" i="29"/>
  <c r="A3" i="29" a="1"/>
  <c r="A3" i="29" s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A3" i="22" a="1"/>
  <c r="A3" i="22" s="1"/>
  <c r="H41" i="12"/>
  <c r="H42" i="12"/>
  <c r="H39" i="12"/>
  <c r="H38" i="12"/>
  <c r="H43" i="12"/>
  <c r="H40" i="12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K2" i="6"/>
  <c r="J2" i="6"/>
  <c r="I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K2" i="5"/>
  <c r="J2" i="5"/>
  <c r="I2" i="5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2" i="2"/>
  <c r="I2" i="2"/>
  <c r="K2" i="2" s="1"/>
  <c r="J2" i="2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J2" i="4"/>
  <c r="I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J2" i="3"/>
  <c r="I2" i="3"/>
  <c r="K3" i="2"/>
  <c r="K4" i="2"/>
  <c r="K5" i="2"/>
  <c r="K6" i="2"/>
  <c r="K10" i="2"/>
  <c r="K14" i="2"/>
  <c r="K17" i="2"/>
  <c r="K20" i="2"/>
  <c r="K21" i="2"/>
  <c r="K22" i="2"/>
  <c r="K33" i="2"/>
  <c r="K36" i="2"/>
  <c r="K37" i="2"/>
  <c r="K38" i="2"/>
  <c r="K49" i="2"/>
  <c r="K52" i="2"/>
  <c r="K53" i="2"/>
  <c r="K54" i="2"/>
  <c r="K6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K23" i="2" s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K39" i="2" s="1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K55" i="2" s="1"/>
  <c r="J56" i="2"/>
  <c r="J57" i="2"/>
  <c r="J58" i="2"/>
  <c r="J59" i="2"/>
  <c r="J60" i="2"/>
  <c r="J61" i="2"/>
  <c r="J62" i="2"/>
  <c r="J63" i="2"/>
  <c r="J64" i="2"/>
  <c r="J65" i="2"/>
  <c r="I3" i="2"/>
  <c r="I4" i="2"/>
  <c r="I5" i="2"/>
  <c r="I6" i="2"/>
  <c r="I7" i="2"/>
  <c r="K7" i="2" s="1"/>
  <c r="I8" i="2"/>
  <c r="K8" i="2" s="1"/>
  <c r="I9" i="2"/>
  <c r="K9" i="2" s="1"/>
  <c r="I10" i="2"/>
  <c r="I11" i="2"/>
  <c r="K11" i="2" s="1"/>
  <c r="I12" i="2"/>
  <c r="K12" i="2" s="1"/>
  <c r="I13" i="2"/>
  <c r="K13" i="2" s="1"/>
  <c r="I14" i="2"/>
  <c r="I15" i="2"/>
  <c r="K15" i="2" s="1"/>
  <c r="I16" i="2"/>
  <c r="K16" i="2" s="1"/>
  <c r="I17" i="2"/>
  <c r="I18" i="2"/>
  <c r="K18" i="2" s="1"/>
  <c r="I19" i="2"/>
  <c r="K19" i="2" s="1"/>
  <c r="I20" i="2"/>
  <c r="I21" i="2"/>
  <c r="I22" i="2"/>
  <c r="I23" i="2"/>
  <c r="I24" i="2"/>
  <c r="K24" i="2" s="1"/>
  <c r="I25" i="2"/>
  <c r="K25" i="2" s="1"/>
  <c r="I26" i="2"/>
  <c r="K26" i="2" s="1"/>
  <c r="I27" i="2"/>
  <c r="K27" i="2" s="1"/>
  <c r="I28" i="2"/>
  <c r="K28" i="2" s="1"/>
  <c r="I29" i="2"/>
  <c r="K29" i="2" s="1"/>
  <c r="I30" i="2"/>
  <c r="K30" i="2" s="1"/>
  <c r="I31" i="2"/>
  <c r="K31" i="2" s="1"/>
  <c r="I32" i="2"/>
  <c r="K32" i="2" s="1"/>
  <c r="I33" i="2"/>
  <c r="I34" i="2"/>
  <c r="K34" i="2" s="1"/>
  <c r="I35" i="2"/>
  <c r="K35" i="2" s="1"/>
  <c r="I36" i="2"/>
  <c r="I37" i="2"/>
  <c r="I38" i="2"/>
  <c r="I39" i="2"/>
  <c r="I40" i="2"/>
  <c r="K40" i="2" s="1"/>
  <c r="I41" i="2"/>
  <c r="K41" i="2" s="1"/>
  <c r="I42" i="2"/>
  <c r="K42" i="2" s="1"/>
  <c r="I43" i="2"/>
  <c r="K43" i="2" s="1"/>
  <c r="I44" i="2"/>
  <c r="K44" i="2" s="1"/>
  <c r="I45" i="2"/>
  <c r="K45" i="2" s="1"/>
  <c r="I46" i="2"/>
  <c r="K46" i="2" s="1"/>
  <c r="I47" i="2"/>
  <c r="K47" i="2" s="1"/>
  <c r="I48" i="2"/>
  <c r="K48" i="2" s="1"/>
  <c r="I49" i="2"/>
  <c r="I50" i="2"/>
  <c r="K50" i="2" s="1"/>
  <c r="I51" i="2"/>
  <c r="K51" i="2" s="1"/>
  <c r="I52" i="2"/>
  <c r="I53" i="2"/>
  <c r="I54" i="2"/>
  <c r="I55" i="2"/>
  <c r="I56" i="2"/>
  <c r="K56" i="2" s="1"/>
  <c r="I57" i="2"/>
  <c r="K57" i="2" s="1"/>
  <c r="I58" i="2"/>
  <c r="K58" i="2" s="1"/>
  <c r="I59" i="2"/>
  <c r="K59" i="2" s="1"/>
  <c r="I60" i="2"/>
  <c r="K60" i="2" s="1"/>
  <c r="I61" i="2"/>
  <c r="K61" i="2" s="1"/>
  <c r="I62" i="2"/>
  <c r="K62" i="2" s="1"/>
  <c r="I63" i="2"/>
  <c r="K63" i="2" s="1"/>
  <c r="I64" i="2"/>
  <c r="K64" i="2" s="1"/>
  <c r="I65" i="2"/>
  <c r="E3" i="1"/>
  <c r="E4" i="1"/>
  <c r="E5" i="1"/>
  <c r="K6" i="1"/>
  <c r="K8" i="1"/>
  <c r="K9" i="1"/>
  <c r="K11" i="1"/>
  <c r="K12" i="1"/>
  <c r="K13" i="1"/>
  <c r="K14" i="1"/>
  <c r="K15" i="1"/>
  <c r="K16" i="1"/>
  <c r="K17" i="1"/>
  <c r="K18" i="1"/>
  <c r="K19" i="1"/>
  <c r="K20" i="1"/>
  <c r="K24" i="1"/>
  <c r="K51" i="1"/>
  <c r="K52" i="1"/>
  <c r="K53" i="1"/>
  <c r="K54" i="1"/>
  <c r="K55" i="1"/>
  <c r="K56" i="1"/>
  <c r="K57" i="1"/>
  <c r="K58" i="1"/>
  <c r="K59" i="1"/>
  <c r="K60" i="1"/>
  <c r="K62" i="1"/>
  <c r="K6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K47" i="1" s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K61" i="1" s="1"/>
  <c r="J62" i="1"/>
  <c r="J63" i="1"/>
  <c r="J64" i="1"/>
  <c r="J65" i="1"/>
  <c r="I3" i="1"/>
  <c r="K3" i="1" s="1"/>
  <c r="I4" i="1"/>
  <c r="I5" i="1"/>
  <c r="K5" i="1" s="1"/>
  <c r="I6" i="1"/>
  <c r="I7" i="1"/>
  <c r="K7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K21" i="1" s="1"/>
  <c r="I22" i="1"/>
  <c r="K22" i="1" s="1"/>
  <c r="I23" i="1"/>
  <c r="K23" i="1" s="1"/>
  <c r="I24" i="1"/>
  <c r="I25" i="1"/>
  <c r="K25" i="1" s="1"/>
  <c r="I26" i="1"/>
  <c r="I27" i="1"/>
  <c r="K27" i="1" s="1"/>
  <c r="I28" i="1"/>
  <c r="I29" i="1"/>
  <c r="K29" i="1" s="1"/>
  <c r="I30" i="1"/>
  <c r="K30" i="1" s="1"/>
  <c r="I31" i="1"/>
  <c r="K31" i="1" s="1"/>
  <c r="I32" i="1"/>
  <c r="K32" i="1" s="1"/>
  <c r="I33" i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I48" i="1"/>
  <c r="K48" i="1" s="1"/>
  <c r="I49" i="1"/>
  <c r="K49" i="1" s="1"/>
  <c r="I50" i="1"/>
  <c r="K50" i="1" s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K64" i="1" s="1"/>
  <c r="I65" i="1"/>
  <c r="K65" i="1" s="1"/>
  <c r="J2" i="1"/>
  <c r="I2" i="1"/>
  <c r="K2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2" i="1"/>
  <c r="B3" i="22" l="1"/>
  <c r="G3" i="22"/>
  <c r="E3" i="22"/>
  <c r="D3" i="22"/>
  <c r="C3" i="22"/>
  <c r="F3" i="22"/>
  <c r="H57" i="32"/>
  <c r="H58" i="32"/>
  <c r="H62" i="32"/>
  <c r="H54" i="32"/>
  <c r="H56" i="32"/>
  <c r="H55" i="32"/>
  <c r="H51" i="32"/>
  <c r="H53" i="32"/>
  <c r="H52" i="32"/>
  <c r="H50" i="32"/>
  <c r="H63" i="32"/>
  <c r="H47" i="32"/>
  <c r="H48" i="32"/>
  <c r="H59" i="32"/>
  <c r="H61" i="32"/>
  <c r="H49" i="32"/>
  <c r="H60" i="32"/>
  <c r="H46" i="32"/>
  <c r="H41" i="32"/>
  <c r="H40" i="32"/>
  <c r="H38" i="32"/>
  <c r="H35" i="32"/>
  <c r="H39" i="32"/>
  <c r="H36" i="32"/>
  <c r="H37" i="32"/>
  <c r="H33" i="32"/>
  <c r="H31" i="32"/>
  <c r="H30" i="32"/>
  <c r="H28" i="32"/>
  <c r="H27" i="32"/>
  <c r="H32" i="32"/>
  <c r="H42" i="32"/>
  <c r="H34" i="32"/>
  <c r="H29" i="32"/>
  <c r="H26" i="32"/>
  <c r="H25" i="32"/>
  <c r="B19" i="30"/>
  <c r="B18" i="30"/>
  <c r="B8" i="30"/>
  <c r="C5" i="30"/>
  <c r="C28" i="30" s="1"/>
  <c r="C4" i="30"/>
  <c r="C27" i="30" s="1"/>
  <c r="D3" i="30"/>
  <c r="D11" i="30"/>
  <c r="E5" i="30"/>
  <c r="B15" i="30"/>
  <c r="C6" i="30"/>
  <c r="C29" i="30" s="1"/>
  <c r="F13" i="30"/>
  <c r="F12" i="30"/>
  <c r="F9" i="30"/>
  <c r="C10" i="30"/>
  <c r="C33" i="30" s="1"/>
  <c r="E13" i="30"/>
  <c r="C9" i="30"/>
  <c r="C32" i="30" s="1"/>
  <c r="E11" i="30"/>
  <c r="B20" i="30"/>
  <c r="C7" i="30"/>
  <c r="C30" i="30" s="1"/>
  <c r="E9" i="30"/>
  <c r="E7" i="30"/>
  <c r="B14" i="30"/>
  <c r="D18" i="30"/>
  <c r="F11" i="30"/>
  <c r="B13" i="30"/>
  <c r="D12" i="30"/>
  <c r="F10" i="30"/>
  <c r="B7" i="30"/>
  <c r="D6" i="30"/>
  <c r="F7" i="30"/>
  <c r="B5" i="30"/>
  <c r="D5" i="30"/>
  <c r="F6" i="30"/>
  <c r="B4" i="30"/>
  <c r="E3" i="30"/>
  <c r="G15" i="30"/>
  <c r="C3" i="30"/>
  <c r="C26" i="30" s="1"/>
  <c r="E20" i="30"/>
  <c r="G13" i="30"/>
  <c r="C20" i="30"/>
  <c r="C43" i="30" s="1"/>
  <c r="E19" i="30"/>
  <c r="G12" i="30"/>
  <c r="C15" i="30"/>
  <c r="C38" i="30" s="1"/>
  <c r="E14" i="30"/>
  <c r="D19" i="30"/>
  <c r="E10" i="30"/>
  <c r="F5" i="30"/>
  <c r="D17" i="30"/>
  <c r="E8" i="30"/>
  <c r="G14" i="30"/>
  <c r="C19" i="30"/>
  <c r="C42" i="30" s="1"/>
  <c r="D9" i="30"/>
  <c r="E4" i="30"/>
  <c r="G9" i="30"/>
  <c r="C17" i="30"/>
  <c r="C40" i="30" s="1"/>
  <c r="D8" i="30"/>
  <c r="F3" i="30"/>
  <c r="G8" i="30"/>
  <c r="B3" i="30"/>
  <c r="C16" i="30"/>
  <c r="C39" i="30" s="1"/>
  <c r="D7" i="30"/>
  <c r="F16" i="30"/>
  <c r="G7" i="30"/>
  <c r="F15" i="30"/>
  <c r="G18" i="30"/>
  <c r="G17" i="30"/>
  <c r="B6" i="30"/>
  <c r="C8" i="30"/>
  <c r="C31" i="30" s="1"/>
  <c r="D10" i="30"/>
  <c r="E12" i="30"/>
  <c r="F14" i="30"/>
  <c r="G16" i="30"/>
  <c r="G11" i="30"/>
  <c r="B16" i="30"/>
  <c r="C18" i="30"/>
  <c r="C41" i="30" s="1"/>
  <c r="D20" i="30"/>
  <c r="D4" i="30"/>
  <c r="E6" i="30"/>
  <c r="F8" i="30"/>
  <c r="G10" i="30"/>
  <c r="B12" i="30"/>
  <c r="C14" i="30"/>
  <c r="C37" i="30" s="1"/>
  <c r="D16" i="30"/>
  <c r="E18" i="30"/>
  <c r="F20" i="30"/>
  <c r="F4" i="30"/>
  <c r="G6" i="30"/>
  <c r="B11" i="30"/>
  <c r="C13" i="30"/>
  <c r="C36" i="30" s="1"/>
  <c r="D15" i="30"/>
  <c r="E17" i="30"/>
  <c r="F19" i="30"/>
  <c r="G5" i="30"/>
  <c r="B10" i="30"/>
  <c r="C12" i="30"/>
  <c r="C35" i="30" s="1"/>
  <c r="D14" i="30"/>
  <c r="E16" i="30"/>
  <c r="F18" i="30"/>
  <c r="G20" i="30"/>
  <c r="G4" i="30"/>
  <c r="B9" i="30"/>
  <c r="C11" i="30"/>
  <c r="C34" i="30" s="1"/>
  <c r="D13" i="30"/>
  <c r="E15" i="30"/>
  <c r="F17" i="30"/>
  <c r="G19" i="30"/>
  <c r="AD20" i="29"/>
  <c r="AD4" i="29"/>
  <c r="AD19" i="29"/>
  <c r="AD14" i="29"/>
  <c r="AD8" i="29"/>
  <c r="AD10" i="29"/>
  <c r="AD16" i="29"/>
  <c r="AD7" i="29"/>
  <c r="AD6" i="29"/>
  <c r="AD5" i="29"/>
  <c r="AD9" i="29"/>
  <c r="AD13" i="29"/>
  <c r="AD18" i="29"/>
  <c r="AD17" i="29"/>
  <c r="AD15" i="29"/>
  <c r="AD12" i="29"/>
  <c r="AD11" i="29"/>
  <c r="AD3" i="29"/>
  <c r="T8" i="29"/>
  <c r="T12" i="29"/>
  <c r="T10" i="29"/>
  <c r="T20" i="29"/>
  <c r="T4" i="29"/>
  <c r="T11" i="29"/>
  <c r="T13" i="29"/>
  <c r="T19" i="29"/>
  <c r="T15" i="29"/>
  <c r="T7" i="29"/>
  <c r="T9" i="29"/>
  <c r="T6" i="29"/>
  <c r="T5" i="29"/>
  <c r="T17" i="29"/>
  <c r="T18" i="29"/>
  <c r="T14" i="29"/>
  <c r="T16" i="29"/>
  <c r="T3" i="29"/>
  <c r="H20" i="29"/>
  <c r="H4" i="29"/>
  <c r="H13" i="29"/>
  <c r="H17" i="29"/>
  <c r="H19" i="29"/>
  <c r="H18" i="29"/>
  <c r="H8" i="29"/>
  <c r="H14" i="29"/>
  <c r="H16" i="29"/>
  <c r="H7" i="29"/>
  <c r="H6" i="29"/>
  <c r="H9" i="29"/>
  <c r="H3" i="29"/>
  <c r="H5" i="29"/>
  <c r="H15" i="29"/>
  <c r="H11" i="29"/>
  <c r="H12" i="29"/>
  <c r="H10" i="29"/>
  <c r="H44" i="12"/>
  <c r="K10" i="1"/>
  <c r="K28" i="1"/>
  <c r="K26" i="1"/>
  <c r="K33" i="1"/>
  <c r="K4" i="1"/>
  <c r="D32" i="30" l="1"/>
  <c r="E32" i="30" s="1"/>
  <c r="D35" i="30"/>
  <c r="E35" i="30" s="1"/>
  <c r="D38" i="30"/>
  <c r="D41" i="30"/>
  <c r="E41" i="30" s="1"/>
  <c r="D36" i="30"/>
  <c r="E36" i="30" s="1"/>
  <c r="D26" i="30"/>
  <c r="E26" i="30" s="1"/>
  <c r="D33" i="30"/>
  <c r="E33" i="30" s="1"/>
  <c r="D39" i="30"/>
  <c r="E39" i="30" s="1"/>
  <c r="D29" i="30"/>
  <c r="E29" i="30" s="1"/>
  <c r="F29" i="30" s="1"/>
  <c r="D43" i="30"/>
  <c r="E43" i="30" s="1"/>
  <c r="D40" i="30"/>
  <c r="E40" i="30" s="1"/>
  <c r="D34" i="30"/>
  <c r="E34" i="30" s="1"/>
  <c r="D27" i="30"/>
  <c r="E27" i="30" s="1"/>
  <c r="D31" i="30"/>
  <c r="E31" i="30" s="1"/>
  <c r="D28" i="30"/>
  <c r="E28" i="30" s="1"/>
  <c r="F28" i="30" s="1"/>
  <c r="D42" i="30"/>
  <c r="E42" i="30" s="1"/>
  <c r="D30" i="30"/>
  <c r="E30" i="30" s="1"/>
  <c r="D37" i="30"/>
  <c r="E37" i="30" s="1"/>
  <c r="F41" i="30" l="1"/>
  <c r="G41" i="30" s="1"/>
  <c r="G28" i="30"/>
  <c r="F31" i="30"/>
  <c r="G31" i="30" s="1"/>
  <c r="G29" i="30"/>
  <c r="F35" i="30"/>
  <c r="G35" i="30" s="1"/>
  <c r="F37" i="30"/>
  <c r="G37" i="30" s="1"/>
  <c r="F32" i="30"/>
  <c r="G32" i="30" s="1"/>
  <c r="F30" i="30"/>
  <c r="G30" i="30" s="1"/>
  <c r="F39" i="30"/>
  <c r="G39" i="30" s="1"/>
  <c r="F34" i="30"/>
  <c r="G34" i="30" s="1"/>
  <c r="F40" i="30"/>
  <c r="G40" i="30" s="1"/>
  <c r="F27" i="30"/>
  <c r="G27" i="30" s="1"/>
  <c r="E38" i="30"/>
  <c r="F43" i="30"/>
  <c r="G43" i="30" s="1"/>
  <c r="F36" i="30"/>
  <c r="G36" i="30" s="1"/>
  <c r="F26" i="30"/>
  <c r="G26" i="30" s="1"/>
  <c r="F42" i="30"/>
  <c r="G42" i="30" s="1"/>
  <c r="F33" i="30"/>
  <c r="G33" i="30" s="1"/>
  <c r="F38" i="30" l="1"/>
  <c r="G38" i="3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<sst xmlns="http://schemas.openxmlformats.org/spreadsheetml/2006/main" count="1217" uniqueCount="161">
  <si>
    <t>Product  Name</t>
  </si>
  <si>
    <t>Opening Stocks</t>
  </si>
  <si>
    <t>Purchases</t>
  </si>
  <si>
    <t>Closing Stock</t>
  </si>
  <si>
    <t>Units Sold</t>
  </si>
  <si>
    <t>Purchase Price</t>
  </si>
  <si>
    <t>Selling Price</t>
  </si>
  <si>
    <t>Total Revenue</t>
  </si>
  <si>
    <t>Total Cost</t>
  </si>
  <si>
    <t>Profit</t>
  </si>
  <si>
    <t>A4 Sheets</t>
  </si>
  <si>
    <t>Geometry Box</t>
  </si>
  <si>
    <t>Chart Paper</t>
  </si>
  <si>
    <t>Color Pencils</t>
  </si>
  <si>
    <t>Stapler</t>
  </si>
  <si>
    <t>Drawing Book</t>
  </si>
  <si>
    <t>Register</t>
  </si>
  <si>
    <t>Markers</t>
  </si>
  <si>
    <t>Product Type</t>
  </si>
  <si>
    <t>Spiral Notebook</t>
  </si>
  <si>
    <t>Classmate Pulse 6 subject spiral Notebook (300 pages) (297mm X 210mm)</t>
  </si>
  <si>
    <t>Classmate Pulse 6 subject spiral Notebook (300 pages) (267mm X 203mm)</t>
  </si>
  <si>
    <t>Classmate Pulse 6 subject spiral Notebook (300 pages) (240mm X 180mm)</t>
  </si>
  <si>
    <t>Classmate Notebook Singleline Ruled (120 pages) (240mm X 180mm)</t>
  </si>
  <si>
    <t>Classmate Notebook Singleline Ruled (172 pages) (272mm X 167mm)</t>
  </si>
  <si>
    <t>Navneet Notebook (92 pages) (180mm X 240mm)</t>
  </si>
  <si>
    <t>Navneet Notebook (172 pages) (210mm X 297mm)</t>
  </si>
  <si>
    <t>Classmate Notebook Unruled (168 pages) (240mm X 180mm)</t>
  </si>
  <si>
    <t>Yuva Notebook Unruled (180 pages) (240mm X 180mm)</t>
  </si>
  <si>
    <t>Classmate LongBook (384 pages) (297mm X 210mm)</t>
  </si>
  <si>
    <t>Classmate LongBook (140 pages) (297mm X 210mm)</t>
  </si>
  <si>
    <t>Navneet LongBook (76 pages) (297mm X 210mm)</t>
  </si>
  <si>
    <t>Ruled Notebook</t>
  </si>
  <si>
    <t>Unruled Notebook</t>
  </si>
  <si>
    <t>Nataraj 621 Writing Pencils (10 pencils)</t>
  </si>
  <si>
    <t>DOMS X1 Xtra Super Dark (10 pencils)</t>
  </si>
  <si>
    <t>Apsara Matt Magic 2.0 (10 pencils)</t>
  </si>
  <si>
    <t>Apsara Absolute Extra Dark (10 pencils)</t>
  </si>
  <si>
    <t>Pencils</t>
  </si>
  <si>
    <t>Pentonic 0.7mm (10 pens)</t>
  </si>
  <si>
    <t>Pens</t>
  </si>
  <si>
    <t>Cello Finegrip (10 pens)</t>
  </si>
  <si>
    <t>Luxor Pilot V5</t>
  </si>
  <si>
    <t>Luxor Pilot V7</t>
  </si>
  <si>
    <t>Hauser XO 0.7mm (10 pens)</t>
  </si>
  <si>
    <t>Flair Srx 0.7mm Rectangle (10 pens)</t>
  </si>
  <si>
    <t>Renyolds Trimax 0.5mm</t>
  </si>
  <si>
    <t>Renyolds Trimax Gold 0.7mm</t>
  </si>
  <si>
    <t>Classmate Asteroid Geometry Box</t>
  </si>
  <si>
    <t>Camlin Scholar Plus</t>
  </si>
  <si>
    <t>DOMS X1 Premium</t>
  </si>
  <si>
    <t xml:space="preserve">Edet 200 gsm </t>
  </si>
  <si>
    <t>Sehgal 160-180 gsm</t>
  </si>
  <si>
    <t>Fevicol MR Easy (105g)</t>
  </si>
  <si>
    <t>Fevicol Craft Glue (200gm)</t>
  </si>
  <si>
    <t>Fevicol Craft Glue (100gm)</t>
  </si>
  <si>
    <t>Fevistick (8gm)</t>
  </si>
  <si>
    <t>Adhesive</t>
  </si>
  <si>
    <t>Cello Colorup (24 pencils)</t>
  </si>
  <si>
    <t>Faber Castell (48 pencils)</t>
  </si>
  <si>
    <t>DOMS Color Pencils (24 pencils)</t>
  </si>
  <si>
    <t>Camlin Triangular Color Pencils (12 pencils)</t>
  </si>
  <si>
    <t>Camel Assorted Color Pencils (12 pencils)</t>
  </si>
  <si>
    <t>G1 Report File A4</t>
  </si>
  <si>
    <t>YBN A4 Transparent File</t>
  </si>
  <si>
    <t>Kangaroo No 10Y2</t>
  </si>
  <si>
    <t>Stapler Pin 6mm</t>
  </si>
  <si>
    <t>Classmate Drawing Book (210mm X 297mm) (40 pages)</t>
  </si>
  <si>
    <t xml:space="preserve">3M Scotch Double Sided Tape </t>
  </si>
  <si>
    <t>Edet Adhesive Tape (3M)</t>
  </si>
  <si>
    <t>Scotch Magic Tape (3M)</t>
  </si>
  <si>
    <t>Luxor Permanent Bold Marker</t>
  </si>
  <si>
    <t>Povole Color Markers (2mm)</t>
  </si>
  <si>
    <t>Cello Whiteboard Markers</t>
  </si>
  <si>
    <t>Faber Castell Watercolors (5mL) (set of 12)</t>
  </si>
  <si>
    <t>Doms Poster Colors (12 shades)</t>
  </si>
  <si>
    <t>Fevicryl Acrylic Color (15mL) (set of 10)</t>
  </si>
  <si>
    <t>Camel Kokayo Oil paster (50 shades)</t>
  </si>
  <si>
    <t>Doms Oil paster (25 shades)</t>
  </si>
  <si>
    <t>Faber-Castell (12 shades)</t>
  </si>
  <si>
    <t>Project File</t>
  </si>
  <si>
    <t>Adhesive Tape</t>
  </si>
  <si>
    <t>Water Colors and Oil paints</t>
  </si>
  <si>
    <t>Yashvin Laminated Brown Cover ( Cover roll)</t>
  </si>
  <si>
    <t>Yashvin Laminated  Transparent Cover ( Cover roll)</t>
  </si>
  <si>
    <t>Notebook Cover</t>
  </si>
  <si>
    <t>Gaurik Multicolor Copy Covers</t>
  </si>
  <si>
    <t>Solimo Ivory Sheets A4 (210 gsm )</t>
  </si>
  <si>
    <t>Edet A4 Coloured Sheets (150 gsm)</t>
  </si>
  <si>
    <t>Edet A4 White Sheets (150 gsm)</t>
  </si>
  <si>
    <t>Doms Wiro Bound Sketchbook (275mm X 347mm) (100 pages)</t>
  </si>
  <si>
    <t>Doms Wiro Bound Sketchbook (297mm X 210mm) (72 pages)</t>
  </si>
  <si>
    <t>Faber Castell Motoart Highlighters</t>
  </si>
  <si>
    <t>TOTAL</t>
  </si>
  <si>
    <t>March</t>
  </si>
  <si>
    <t>April</t>
  </si>
  <si>
    <t>May</t>
  </si>
  <si>
    <t>June</t>
  </si>
  <si>
    <t>Product Name</t>
  </si>
  <si>
    <t>Nataraj 621 Writing Pencils</t>
  </si>
  <si>
    <t>Apsara Matt Magic 2.0</t>
  </si>
  <si>
    <t>Classmate Pulse Spiral Notebook</t>
  </si>
  <si>
    <t>Pentonic 0.7mm Pens</t>
  </si>
  <si>
    <t>Camlin White Board Marker</t>
  </si>
  <si>
    <t>Dom's Extra Dark Pencils</t>
  </si>
  <si>
    <t>Navneet Long Book 76 Pages</t>
  </si>
  <si>
    <t>Classmate Soft Cover Notebook</t>
  </si>
  <si>
    <t>Camlin Geometry Box</t>
  </si>
  <si>
    <t>Category Name</t>
  </si>
  <si>
    <t>Ruled Notebooks</t>
  </si>
  <si>
    <t>Jan</t>
  </si>
  <si>
    <t>Feb</t>
  </si>
  <si>
    <t>Total</t>
  </si>
  <si>
    <t>Cummulative Revenue</t>
  </si>
  <si>
    <t>Cummulative Percentage</t>
  </si>
  <si>
    <t>Month Name</t>
  </si>
  <si>
    <t>Mar</t>
  </si>
  <si>
    <t>Apr</t>
  </si>
  <si>
    <t>Jun</t>
  </si>
  <si>
    <t>Cumulative Revenue</t>
  </si>
  <si>
    <t>Cumulative Percentage</t>
  </si>
  <si>
    <t>Stock-to-Sales Ratio</t>
  </si>
  <si>
    <t>Water Colors and Oil Paints</t>
  </si>
  <si>
    <t>January</t>
  </si>
  <si>
    <t>February</t>
  </si>
  <si>
    <t>Water Colors</t>
  </si>
  <si>
    <t xml:space="preserve">Monthly Sales Trends Category Wise </t>
  </si>
  <si>
    <t>Adhhesive Tape</t>
  </si>
  <si>
    <t>Water Colors/Oil Paints</t>
  </si>
  <si>
    <t xml:space="preserve">Inventory Turnover Ratio by Category </t>
  </si>
  <si>
    <t>Classmate Pulse 6 subject (300 pages)</t>
  </si>
  <si>
    <t>Top 5 Best-Selling Products (Units Sold, Monthly)</t>
  </si>
  <si>
    <t>Prodiuct Type</t>
  </si>
  <si>
    <t>Total Profit</t>
  </si>
  <si>
    <t>Seasonal Demand by Product Categories</t>
  </si>
  <si>
    <t>Other</t>
  </si>
  <si>
    <t>Product type</t>
  </si>
  <si>
    <t>Monthly Purchase by Product Type</t>
  </si>
  <si>
    <t>Revenu Table by Product Type</t>
  </si>
  <si>
    <t>Cost Table by Product Type</t>
  </si>
  <si>
    <t>Average Profit Margin Table</t>
  </si>
  <si>
    <t>Profit table by Product Type</t>
  </si>
  <si>
    <t>Average Profit</t>
  </si>
  <si>
    <t>Average Profit Margin (%)</t>
  </si>
  <si>
    <t>Profit Table by Product Type</t>
  </si>
  <si>
    <t>Cummulative Units sold</t>
  </si>
  <si>
    <t>Units sold in each month</t>
  </si>
  <si>
    <t>Units purchased each month</t>
  </si>
  <si>
    <t>Month</t>
  </si>
  <si>
    <t>Avg. Sales</t>
  </si>
  <si>
    <t>Average</t>
  </si>
  <si>
    <t>Category</t>
  </si>
  <si>
    <t>Total Profit (₹)</t>
  </si>
  <si>
    <t>Writing Instruments</t>
  </si>
  <si>
    <t>Art Supplies</t>
  </si>
  <si>
    <t>Notebooks</t>
  </si>
  <si>
    <t>Adhesives</t>
  </si>
  <si>
    <t>Office Supplies</t>
  </si>
  <si>
    <t>Geometry</t>
  </si>
  <si>
    <t>Art Paper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</si>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</sst>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&quot;₹&quot;\ #,##0.0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Segoe UI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9.6"/>
      <color theme="1"/>
      <name val="Segoe UI"/>
      <family val="2"/>
    </font>
    <font>
      <sz val="14"/>
      <color theme="1"/>
      <name val="Segoe UI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8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1" xfId="0" applyFont="1" applyBorder="1"/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0" fontId="0" fillId="0" borderId="2" xfId="0" applyBorder="1"/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3" borderId="0" xfId="0" applyFont="1" applyFill="1"/>
    <xf numFmtId="3" fontId="0" fillId="0" borderId="1" xfId="0" applyNumberFormat="1" applyBorder="1"/>
    <xf numFmtId="0" fontId="9" fillId="2" borderId="0" xfId="0" applyFont="1" applyFill="1"/>
    <xf numFmtId="0" fontId="0" fillId="2" borderId="0" xfId="0" applyFill="1"/>
    <xf numFmtId="0" fontId="5" fillId="0" borderId="3" xfId="0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0" fontId="1" fillId="3" borderId="1" xfId="0" applyFont="1" applyFill="1" applyBorder="1"/>
    <xf numFmtId="0" fontId="11" fillId="0" borderId="0" xfId="0" applyFont="1"/>
    <xf numFmtId="165" fontId="0" fillId="0" borderId="0" xfId="1" applyNumberFormat="1" applyFont="1"/>
    <xf numFmtId="0" fontId="1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5" fillId="0" borderId="1" xfId="1" applyNumberFormat="1" applyFont="1" applyBorder="1" applyAlignment="1">
      <alignment vertical="center" wrapText="1"/>
    </xf>
    <xf numFmtId="2" fontId="0" fillId="0" borderId="0" xfId="0" applyNumberFormat="1"/>
    <xf numFmtId="0" fontId="13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'Units Sold vs Units Purchased'!$M$4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'Units Sold vs Units Purchased'!$L$5:$L$13</c:f>
              <c:strCache>
                <c:ptCount val="9"/>
                <c:pt idx="0">
                  <c:v>Pencils</c:v>
                </c:pt>
                <c:pt idx="1">
                  <c:v>Pens</c:v>
                </c:pt>
                <c:pt idx="2">
                  <c:v>Spiral Notebook</c:v>
                </c:pt>
                <c:pt idx="3">
                  <c:v>Ruled Notebook</c:v>
                </c:pt>
                <c:pt idx="4">
                  <c:v>Drawing Book</c:v>
                </c:pt>
                <c:pt idx="5">
                  <c:v>Markers</c:v>
                </c:pt>
                <c:pt idx="6">
                  <c:v>Adhesive Tape</c:v>
                </c:pt>
                <c:pt idx="7">
                  <c:v>Geometry Box</c:v>
                </c:pt>
                <c:pt idx="8">
                  <c:v>Stapler</c:v>
                </c:pt>
              </c:strCache>
            </c:strRef>
          </c:xVal>
          <c:yVal>
            <c:numRef>
              <c:f>'Units Sold vs Units Purchased'!$M$5:$M$13</c:f>
              <c:numCache>
                <c:formatCode>General</c:formatCode>
                <c:ptCount val="9"/>
                <c:pt idx="0">
                  <c:v>744</c:v>
                </c:pt>
                <c:pt idx="1">
                  <c:v>1313</c:v>
                </c:pt>
                <c:pt idx="2">
                  <c:v>503</c:v>
                </c:pt>
                <c:pt idx="3">
                  <c:v>705</c:v>
                </c:pt>
                <c:pt idx="4">
                  <c:v>211</c:v>
                </c:pt>
                <c:pt idx="5">
                  <c:v>415</c:v>
                </c:pt>
                <c:pt idx="6">
                  <c:v>292</c:v>
                </c:pt>
                <c:pt idx="7">
                  <c:v>165</c:v>
                </c:pt>
                <c:pt idx="8">
                  <c:v>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9-4A23-B8C2-AF101D8D0B9E}"/>
            </c:ext>
          </c:extLst>
        </c:ser>
        <c:ser>
          <c:idx val="1"/>
          <c:order val="1"/>
          <c:tx>
            <c:strRef>
              <c:f>'Units Sold vs Units Purchased'!$N$4</c:f>
              <c:strCache>
                <c:ptCount val="1"/>
                <c:pt idx="0">
                  <c:v>Purchases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D316A81-4B1A-47DB-9722-08901FFB5C2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E49-4A23-B8C2-AF101D8D0B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766CF3-E0D7-41FD-80D7-586FBD23664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E49-4A23-B8C2-AF101D8D0B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D3417D-9DD3-4C31-91B5-F5DA11C6074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E49-4A23-B8C2-AF101D8D0B9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BCD0E8-1E09-4E8D-8269-3E235884852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E49-4A23-B8C2-AF101D8D0B9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61C006-B609-4DA9-879D-71A91C3BB4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E49-4A23-B8C2-AF101D8D0B9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B2092D-F1A0-4280-A669-18411E939A8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E49-4A23-B8C2-AF101D8D0B9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66DB9CE-3037-4FD1-A0F5-9380D114924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E49-4A23-B8C2-AF101D8D0B9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C619F94-BF55-437B-B43F-FCE43C43231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E49-4A23-B8C2-AF101D8D0B9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F7AEA38-9ABC-43CF-8FE4-7EBF01FA6C4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E49-4A23-B8C2-AF101D8D0B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'Units Sold vs Units Purchased'!$L$5:$L$13</c:f>
              <c:strCache>
                <c:ptCount val="9"/>
                <c:pt idx="0">
                  <c:v>Pencils</c:v>
                </c:pt>
                <c:pt idx="1">
                  <c:v>Pens</c:v>
                </c:pt>
                <c:pt idx="2">
                  <c:v>Spiral Notebook</c:v>
                </c:pt>
                <c:pt idx="3">
                  <c:v>Ruled Notebook</c:v>
                </c:pt>
                <c:pt idx="4">
                  <c:v>Drawing Book</c:v>
                </c:pt>
                <c:pt idx="5">
                  <c:v>Markers</c:v>
                </c:pt>
                <c:pt idx="6">
                  <c:v>Adhesive Tape</c:v>
                </c:pt>
                <c:pt idx="7">
                  <c:v>Geometry Box</c:v>
                </c:pt>
                <c:pt idx="8">
                  <c:v>Stapler</c:v>
                </c:pt>
              </c:strCache>
            </c:strRef>
          </c:xVal>
          <c:yVal>
            <c:numRef>
              <c:f>'Units Sold vs Units Purchased'!$N$5:$N$13</c:f>
              <c:numCache>
                <c:formatCode>General</c:formatCode>
                <c:ptCount val="9"/>
                <c:pt idx="0">
                  <c:v>802</c:v>
                </c:pt>
                <c:pt idx="1">
                  <c:v>1408</c:v>
                </c:pt>
                <c:pt idx="2">
                  <c:v>595</c:v>
                </c:pt>
                <c:pt idx="3">
                  <c:v>820</c:v>
                </c:pt>
                <c:pt idx="4">
                  <c:v>359</c:v>
                </c:pt>
                <c:pt idx="5">
                  <c:v>600</c:v>
                </c:pt>
                <c:pt idx="6">
                  <c:v>390</c:v>
                </c:pt>
                <c:pt idx="7">
                  <c:v>163</c:v>
                </c:pt>
                <c:pt idx="8">
                  <c:v>212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'Units Sold vs Units Purchased'!$L$5:$L$13</c15:f>
                <c15:dlblRangeCache>
                  <c:ptCount val="9"/>
                  <c:pt idx="0">
                    <c:v>Pencils</c:v>
                  </c:pt>
                  <c:pt idx="1">
                    <c:v>Pens</c:v>
                  </c:pt>
                  <c:pt idx="2">
                    <c:v>Spiral Notebook</c:v>
                  </c:pt>
                  <c:pt idx="3">
                    <c:v>Ruled Notebook</c:v>
                  </c:pt>
                  <c:pt idx="4">
                    <c:v>Drawing Book</c:v>
                  </c:pt>
                  <c:pt idx="5">
                    <c:v>Markers</c:v>
                  </c:pt>
                  <c:pt idx="6">
                    <c:v>Adhesive Tape</c:v>
                  </c:pt>
                  <c:pt idx="7">
                    <c:v>Geometry Box</c:v>
                  </c:pt>
                  <c:pt idx="8">
                    <c:v>Stapler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1E49-4A23-B8C2-AF101D8D0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862239"/>
        <c:axId val="801861279"/>
      </c:scatterChart>
      <c:valAx>
        <c:axId val="80186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861279"/>
        <c:crosses val="autoZero"/>
        <c:crossBetween val="midCat"/>
      </c:valAx>
      <c:valAx>
        <c:axId val="8018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86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Units</a:t>
            </a:r>
            <a:r>
              <a:rPr lang="en-IN" b="1" baseline="0"/>
              <a:t> Sold vs Units Purchased by Product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2810565019256344E-2"/>
          <c:y val="0.1642086142637324"/>
          <c:w val="0.88838601364641145"/>
          <c:h val="0.60596478129145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'Units Sold vs Units Purchased'!$M$4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449-4544-8C74-B69C971C4252}"/>
                </c:ext>
              </c:extLst>
            </c:dLbl>
            <c:dLbl>
              <c:idx val="1"/>
              <c:layout>
                <c:manualLayout>
                  <c:x val="-1.2223068105588078E-2"/>
                  <c:y val="4.12796697626418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449-4544-8C74-B69C971C425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449-4544-8C74-B69C971C425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49-4544-8C74-B69C971C425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49-4544-8C74-B69C971C425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49-4544-8C74-B69C971C4252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49-4544-8C74-B69C971C4252}"/>
                </c:ext>
              </c:extLst>
            </c:dLbl>
            <c:dLbl>
              <c:idx val="7"/>
              <c:layout>
                <c:manualLayout>
                  <c:x val="-1.42602461231862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49-4544-8C74-B69C971C4252}"/>
                </c:ext>
              </c:extLst>
            </c:dLbl>
            <c:dLbl>
              <c:idx val="8"/>
              <c:layout>
                <c:manualLayout>
                  <c:x val="-1.2223068105588059E-2"/>
                  <c:y val="-7.567852032011884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449-4544-8C74-B69C971C42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'Units Sold vs Units Purchased'!$L$5:$L$13</c:f>
              <c:strCache>
                <c:ptCount val="9"/>
                <c:pt idx="0">
                  <c:v>Pencils</c:v>
                </c:pt>
                <c:pt idx="1">
                  <c:v>Pens</c:v>
                </c:pt>
                <c:pt idx="2">
                  <c:v>Spiral Notebook</c:v>
                </c:pt>
                <c:pt idx="3">
                  <c:v>Ruled Notebook</c:v>
                </c:pt>
                <c:pt idx="4">
                  <c:v>Drawing Book</c:v>
                </c:pt>
                <c:pt idx="5">
                  <c:v>Markers</c:v>
                </c:pt>
                <c:pt idx="6">
                  <c:v>Adhesive Tape</c:v>
                </c:pt>
                <c:pt idx="7">
                  <c:v>Geometry Box</c:v>
                </c:pt>
                <c:pt idx="8">
                  <c:v>Stapler</c:v>
                </c:pt>
              </c:strCache>
            </c:strRef>
          </c:cat>
          <c:val>
            <c:numRef>
              <c:f>'Units Sold vs Units Purchased'!$M$5:$M$13</c:f>
              <c:numCache>
                <c:formatCode>General</c:formatCode>
                <c:ptCount val="9"/>
                <c:pt idx="0">
                  <c:v>744</c:v>
                </c:pt>
                <c:pt idx="1">
                  <c:v>1313</c:v>
                </c:pt>
                <c:pt idx="2">
                  <c:v>503</c:v>
                </c:pt>
                <c:pt idx="3">
                  <c:v>705</c:v>
                </c:pt>
                <c:pt idx="4">
                  <c:v>211</c:v>
                </c:pt>
                <c:pt idx="5">
                  <c:v>415</c:v>
                </c:pt>
                <c:pt idx="6">
                  <c:v>292</c:v>
                </c:pt>
                <c:pt idx="7">
                  <c:v>165</c:v>
                </c:pt>
                <c:pt idx="8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9-442E-B0A1-068F90734E58}"/>
            </c:ext>
          </c:extLst>
        </c:ser>
        <c:ser>
          <c:idx val="1"/>
          <c:order val="1"/>
          <c:tx>
            <c:strRef>
              <c:f>'Units Sold vs Units Purchased'!$N$4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2230681055880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449-4544-8C74-B69C971C4252}"/>
                </c:ext>
              </c:extLst>
            </c:dLbl>
            <c:dLbl>
              <c:idx val="1"/>
              <c:layout>
                <c:manualLayout>
                  <c:x val="1.2223068105588059E-2"/>
                  <c:y val="4.12796697626418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449-4544-8C74-B69C971C425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449-4544-8C74-B69C971C425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49-4544-8C74-B69C971C425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49-4544-8C74-B69C971C425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49-4544-8C74-B69C971C4252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49-4544-8C74-B69C971C4252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49-4544-8C74-B69C971C4252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49-4544-8C74-B69C971C42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'Units Sold vs Units Purchased'!$L$5:$L$13</c:f>
              <c:strCache>
                <c:ptCount val="9"/>
                <c:pt idx="0">
                  <c:v>Pencils</c:v>
                </c:pt>
                <c:pt idx="1">
                  <c:v>Pens</c:v>
                </c:pt>
                <c:pt idx="2">
                  <c:v>Spiral Notebook</c:v>
                </c:pt>
                <c:pt idx="3">
                  <c:v>Ruled Notebook</c:v>
                </c:pt>
                <c:pt idx="4">
                  <c:v>Drawing Book</c:v>
                </c:pt>
                <c:pt idx="5">
                  <c:v>Markers</c:v>
                </c:pt>
                <c:pt idx="6">
                  <c:v>Adhesive Tape</c:v>
                </c:pt>
                <c:pt idx="7">
                  <c:v>Geometry Box</c:v>
                </c:pt>
                <c:pt idx="8">
                  <c:v>Stapler</c:v>
                </c:pt>
              </c:strCache>
            </c:strRef>
          </c:cat>
          <c:val>
            <c:numRef>
              <c:f>'Units Sold vs Units Purchased'!$N$5:$N$13</c:f>
              <c:numCache>
                <c:formatCode>General</c:formatCode>
                <c:ptCount val="9"/>
                <c:pt idx="0">
                  <c:v>802</c:v>
                </c:pt>
                <c:pt idx="1">
                  <c:v>1408</c:v>
                </c:pt>
                <c:pt idx="2">
                  <c:v>595</c:v>
                </c:pt>
                <c:pt idx="3">
                  <c:v>820</c:v>
                </c:pt>
                <c:pt idx="4">
                  <c:v>359</c:v>
                </c:pt>
                <c:pt idx="5">
                  <c:v>600</c:v>
                </c:pt>
                <c:pt idx="6">
                  <c:v>390</c:v>
                </c:pt>
                <c:pt idx="7">
                  <c:v>163</c:v>
                </c:pt>
                <c:pt idx="8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9-442E-B0A1-068F90734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581055"/>
        <c:axId val="864583455"/>
      </c:barChart>
      <c:catAx>
        <c:axId val="864581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Product</a:t>
                </a:r>
                <a:r>
                  <a:rPr lang="en-IN" sz="1200" b="1" baseline="0"/>
                  <a:t> Type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0.43661032863723381"/>
              <c:y val="0.88631237593289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83455"/>
        <c:crosses val="autoZero"/>
        <c:auto val="1"/>
        <c:lblAlgn val="ctr"/>
        <c:lblOffset val="100"/>
        <c:noMultiLvlLbl val="0"/>
      </c:catAx>
      <c:valAx>
        <c:axId val="8645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</a:t>
                </a:r>
                <a:r>
                  <a:rPr lang="en-IN" sz="1200" b="1" baseline="0"/>
                  <a:t> of Item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6.0769911941572366E-3"/>
              <c:y val="0.33524489662455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8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8927934440801448"/>
          <c:y val="4.1303550287702259E-2"/>
          <c:w val="9.0207832318168424E-2"/>
          <c:h val="0.12569924066313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Purchases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45390589062965E-2"/>
          <c:y val="0.13222816399286988"/>
          <c:w val="0.89564575046675865"/>
          <c:h val="0.65128917708815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purchase by category'!$A$25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purchase by category'!$B$24:$G$24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purchase by category'!$B$25:$G$25</c:f>
              <c:numCache>
                <c:formatCode>General</c:formatCode>
                <c:ptCount val="6"/>
                <c:pt idx="0">
                  <c:v>166</c:v>
                </c:pt>
                <c:pt idx="1">
                  <c:v>167</c:v>
                </c:pt>
                <c:pt idx="2">
                  <c:v>184</c:v>
                </c:pt>
                <c:pt idx="3">
                  <c:v>259</c:v>
                </c:pt>
                <c:pt idx="4">
                  <c:v>320</c:v>
                </c:pt>
                <c:pt idx="5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7-4DDC-8BFB-6F8218244187}"/>
            </c:ext>
          </c:extLst>
        </c:ser>
        <c:ser>
          <c:idx val="1"/>
          <c:order val="1"/>
          <c:tx>
            <c:strRef>
              <c:f>'Monthly purchase by category'!$A$26</c:f>
              <c:strCache>
                <c:ptCount val="1"/>
                <c:pt idx="0">
                  <c:v>Ruled Notebook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'Monthly purchase by category'!$B$24:$G$24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purchase by category'!$B$26:$G$26</c:f>
              <c:numCache>
                <c:formatCode>General</c:formatCode>
                <c:ptCount val="6"/>
                <c:pt idx="0">
                  <c:v>76</c:v>
                </c:pt>
                <c:pt idx="1">
                  <c:v>59</c:v>
                </c:pt>
                <c:pt idx="2">
                  <c:v>102</c:v>
                </c:pt>
                <c:pt idx="3">
                  <c:v>192</c:v>
                </c:pt>
                <c:pt idx="4">
                  <c:v>149</c:v>
                </c:pt>
                <c:pt idx="5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7-4DDC-8BFB-6F8218244187}"/>
            </c:ext>
          </c:extLst>
        </c:ser>
        <c:ser>
          <c:idx val="2"/>
          <c:order val="2"/>
          <c:tx>
            <c:strRef>
              <c:f>'Monthly purchase by category'!$A$27</c:f>
              <c:strCache>
                <c:ptCount val="1"/>
                <c:pt idx="0">
                  <c:v>Project File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purchase by category'!$B$24:$G$24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purchase by category'!$B$27:$G$27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31</c:v>
                </c:pt>
                <c:pt idx="3">
                  <c:v>57</c:v>
                </c:pt>
                <c:pt idx="4">
                  <c:v>59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7-4DDC-8BFB-6F8218244187}"/>
            </c:ext>
          </c:extLst>
        </c:ser>
        <c:ser>
          <c:idx val="3"/>
          <c:order val="3"/>
          <c:tx>
            <c:strRef>
              <c:f>'Monthly purchase by category'!$A$28</c:f>
              <c:strCache>
                <c:ptCount val="1"/>
                <c:pt idx="0">
                  <c:v>Markers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'Monthly purchase by category'!$B$24:$G$24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purchase by category'!$B$28:$G$28</c:f>
              <c:numCache>
                <c:formatCode>General</c:formatCode>
                <c:ptCount val="6"/>
                <c:pt idx="0">
                  <c:v>67</c:v>
                </c:pt>
                <c:pt idx="1">
                  <c:v>64</c:v>
                </c:pt>
                <c:pt idx="2">
                  <c:v>77</c:v>
                </c:pt>
                <c:pt idx="3">
                  <c:v>109</c:v>
                </c:pt>
                <c:pt idx="4">
                  <c:v>140</c:v>
                </c:pt>
                <c:pt idx="5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C7-4DDC-8BFB-6F8218244187}"/>
            </c:ext>
          </c:extLst>
        </c:ser>
        <c:ser>
          <c:idx val="4"/>
          <c:order val="4"/>
          <c:tx>
            <c:strRef>
              <c:f>'Monthly purchase by category'!$A$29</c:f>
              <c:strCache>
                <c:ptCount val="1"/>
                <c:pt idx="0">
                  <c:v>Color Pencils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'Monthly purchase by category'!$B$24:$G$24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purchase by category'!$B$29:$G$29</c:f>
              <c:numCache>
                <c:formatCode>General</c:formatCode>
                <c:ptCount val="6"/>
                <c:pt idx="0">
                  <c:v>43</c:v>
                </c:pt>
                <c:pt idx="1">
                  <c:v>35</c:v>
                </c:pt>
                <c:pt idx="2">
                  <c:v>71</c:v>
                </c:pt>
                <c:pt idx="3">
                  <c:v>100</c:v>
                </c:pt>
                <c:pt idx="4">
                  <c:v>123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C7-4DDC-8BFB-6F8218244187}"/>
            </c:ext>
          </c:extLst>
        </c:ser>
        <c:ser>
          <c:idx val="5"/>
          <c:order val="5"/>
          <c:tx>
            <c:strRef>
              <c:f>'Monthly purchase by category'!$A$30</c:f>
              <c:strCache>
                <c:ptCount val="1"/>
                <c:pt idx="0">
                  <c:v>Adhesive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purchase by category'!$B$24:$G$24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purchase by category'!$B$30:$G$30</c:f>
              <c:numCache>
                <c:formatCode>General</c:formatCode>
                <c:ptCount val="6"/>
                <c:pt idx="0">
                  <c:v>89</c:v>
                </c:pt>
                <c:pt idx="1">
                  <c:v>37</c:v>
                </c:pt>
                <c:pt idx="2">
                  <c:v>80</c:v>
                </c:pt>
                <c:pt idx="3">
                  <c:v>104</c:v>
                </c:pt>
                <c:pt idx="4">
                  <c:v>122</c:v>
                </c:pt>
                <c:pt idx="5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C7-4DDC-8BFB-6F8218244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2352144"/>
        <c:axId val="1092345904"/>
      </c:barChart>
      <c:catAx>
        <c:axId val="109235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Months</a:t>
                </a:r>
              </a:p>
            </c:rich>
          </c:tx>
          <c:layout>
            <c:manualLayout>
              <c:xMode val="edge"/>
              <c:yMode val="edge"/>
              <c:x val="0.48804042535920117"/>
              <c:y val="0.84839530085477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45904"/>
        <c:crosses val="autoZero"/>
        <c:auto val="1"/>
        <c:lblAlgn val="ctr"/>
        <c:lblOffset val="100"/>
        <c:noMultiLvlLbl val="0"/>
      </c:catAx>
      <c:valAx>
        <c:axId val="109234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 Purchased</a:t>
                </a:r>
              </a:p>
            </c:rich>
          </c:tx>
          <c:layout>
            <c:manualLayout>
              <c:xMode val="edge"/>
              <c:yMode val="edge"/>
              <c:x val="6.1083150688638135E-3"/>
              <c:y val="0.33585835193060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Restocking</a:t>
            </a:r>
            <a:r>
              <a:rPr lang="en-IN" b="1" baseline="0"/>
              <a:t> Spike During Seasonal Trend For Notebooks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41967190387862E-2"/>
          <c:y val="0.15033399184887547"/>
          <c:w val="0.8971809967387675"/>
          <c:h val="0.61975355135623356"/>
        </c:manualLayout>
      </c:layout>
      <c:lineChart>
        <c:grouping val="standard"/>
        <c:varyColors val="0"/>
        <c:ser>
          <c:idx val="0"/>
          <c:order val="0"/>
          <c:tx>
            <c:strRef>
              <c:f>'Monthly purchase by category'!$A$39</c:f>
              <c:strCache>
                <c:ptCount val="1"/>
                <c:pt idx="0">
                  <c:v>Ruled Notebook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'Monthly purchase by category'!$B$38:$G$38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purchase by category'!$B$39:$G$39</c:f>
              <c:numCache>
                <c:formatCode>General</c:formatCode>
                <c:ptCount val="6"/>
                <c:pt idx="0">
                  <c:v>76</c:v>
                </c:pt>
                <c:pt idx="1">
                  <c:v>59</c:v>
                </c:pt>
                <c:pt idx="2">
                  <c:v>102</c:v>
                </c:pt>
                <c:pt idx="3">
                  <c:v>192</c:v>
                </c:pt>
                <c:pt idx="4">
                  <c:v>149</c:v>
                </c:pt>
                <c:pt idx="5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F-4F4C-8205-372DB9EA2831}"/>
            </c:ext>
          </c:extLst>
        </c:ser>
        <c:ser>
          <c:idx val="2"/>
          <c:order val="2"/>
          <c:tx>
            <c:strRef>
              <c:f>'Monthly purchase by category'!$A$41</c:f>
              <c:strCache>
                <c:ptCount val="1"/>
                <c:pt idx="0">
                  <c:v>Spiral Notebook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'Monthly purchase by category'!$B$38:$G$38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purchase by category'!$B$41:$G$41</c:f>
              <c:numCache>
                <c:formatCode>General</c:formatCode>
                <c:ptCount val="6"/>
                <c:pt idx="0">
                  <c:v>54</c:v>
                </c:pt>
                <c:pt idx="1">
                  <c:v>34</c:v>
                </c:pt>
                <c:pt idx="2">
                  <c:v>65</c:v>
                </c:pt>
                <c:pt idx="3">
                  <c:v>140</c:v>
                </c:pt>
                <c:pt idx="4">
                  <c:v>113</c:v>
                </c:pt>
                <c:pt idx="5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8F-4F4C-8205-372DB9EA2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154799"/>
        <c:axId val="186215527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'Monthly purchase by category'!$A$40</c15:sqref>
                        </c15:formulaRef>
                      </c:ext>
                    </c:extLst>
                    <c:strCache>
                      <c:ptCount val="1"/>
                      <c:pt idx="0">
                        <c:v>Water Colors and Oil paints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'Monthly purchase by category'!$B$38:$G$38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'Monthly purchase by category'!$B$40:$G$40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58</c:v>
                      </c:pt>
                      <c:pt idx="1">
                        <c:v>82</c:v>
                      </c:pt>
                      <c:pt idx="2">
                        <c:v>60</c:v>
                      </c:pt>
                      <c:pt idx="3">
                        <c:v>133</c:v>
                      </c:pt>
                      <c:pt idx="4">
                        <c:v>126</c:v>
                      </c:pt>
                      <c:pt idx="5">
                        <c:v>133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68F-4F4C-8205-372DB9EA2831}"/>
                  </c:ext>
                </c:extLst>
              </c15:ser>
            </c15:filteredLineSeries>
          </c:ext>
        </c:extLst>
      </c:lineChart>
      <c:catAx>
        <c:axId val="1862154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Months</a:t>
                </a:r>
              </a:p>
            </c:rich>
          </c:tx>
          <c:layout>
            <c:manualLayout>
              <c:xMode val="edge"/>
              <c:yMode val="edge"/>
              <c:x val="0.47660717177890799"/>
              <c:y val="0.84943764540261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155279"/>
        <c:crosses val="autoZero"/>
        <c:auto val="1"/>
        <c:lblAlgn val="ctr"/>
        <c:lblOffset val="100"/>
        <c:noMultiLvlLbl val="0"/>
      </c:catAx>
      <c:valAx>
        <c:axId val="186215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</a:t>
                </a:r>
                <a:r>
                  <a:rPr lang="en-IN" sz="1200" b="1" baseline="0"/>
                  <a:t> Restocked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6.0184503246902554E-3"/>
              <c:y val="0.308200005492859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15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Monthly Sales Trend by Product Category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 trends'!$A$3</c:f>
              <c:strCache>
                <c:ptCount val="1"/>
                <c:pt idx="0">
                  <c:v>Pens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trends'!$B$2:$G$2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sales trends'!$B$3:$G$3</c:f>
              <c:numCache>
                <c:formatCode>General</c:formatCode>
                <c:ptCount val="6"/>
                <c:pt idx="0">
                  <c:v>215</c:v>
                </c:pt>
                <c:pt idx="1">
                  <c:v>168</c:v>
                </c:pt>
                <c:pt idx="2">
                  <c:v>168</c:v>
                </c:pt>
                <c:pt idx="3">
                  <c:v>250</c:v>
                </c:pt>
                <c:pt idx="4">
                  <c:v>208</c:v>
                </c:pt>
                <c:pt idx="5">
                  <c:v>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D-4BED-903F-CE05CAB065A7}"/>
            </c:ext>
          </c:extLst>
        </c:ser>
        <c:ser>
          <c:idx val="1"/>
          <c:order val="1"/>
          <c:tx>
            <c:strRef>
              <c:f>'Monthly sales trends'!$A$4</c:f>
              <c:strCache>
                <c:ptCount val="1"/>
                <c:pt idx="0">
                  <c:v>Ruled Notebook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C1-4E83-8B4B-57EEFF48BB9B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C1-4E83-8B4B-57EEFF48BB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trends'!$B$2:$G$2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sales trends'!$B$4:$G$4</c:f>
              <c:numCache>
                <c:formatCode>General</c:formatCode>
                <c:ptCount val="6"/>
                <c:pt idx="0">
                  <c:v>63</c:v>
                </c:pt>
                <c:pt idx="1">
                  <c:v>47</c:v>
                </c:pt>
                <c:pt idx="2">
                  <c:v>78</c:v>
                </c:pt>
                <c:pt idx="3">
                  <c:v>189</c:v>
                </c:pt>
                <c:pt idx="4">
                  <c:v>97</c:v>
                </c:pt>
                <c:pt idx="5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D-4BED-903F-CE05CAB065A7}"/>
            </c:ext>
          </c:extLst>
        </c:ser>
        <c:ser>
          <c:idx val="2"/>
          <c:order val="2"/>
          <c:tx>
            <c:strRef>
              <c:f>'Monthly sales trends'!$A$5</c:f>
              <c:strCache>
                <c:ptCount val="1"/>
                <c:pt idx="0">
                  <c:v>Spiral Notebook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'Monthly sales trends'!$B$2:$G$2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sales trends'!$B$5:$G$5</c:f>
              <c:numCache>
                <c:formatCode>General</c:formatCode>
                <c:ptCount val="6"/>
                <c:pt idx="0">
                  <c:v>48</c:v>
                </c:pt>
                <c:pt idx="1">
                  <c:v>31</c:v>
                </c:pt>
                <c:pt idx="2">
                  <c:v>58</c:v>
                </c:pt>
                <c:pt idx="3">
                  <c:v>131</c:v>
                </c:pt>
                <c:pt idx="4">
                  <c:v>72</c:v>
                </c:pt>
                <c:pt idx="5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6D-4BED-903F-CE05CAB065A7}"/>
            </c:ext>
          </c:extLst>
        </c:ser>
        <c:ser>
          <c:idx val="5"/>
          <c:order val="5"/>
          <c:tx>
            <c:strRef>
              <c:f>'Monthly sales trends'!$A$8</c:f>
              <c:strCache>
                <c:ptCount val="1"/>
                <c:pt idx="0">
                  <c:v>Adhesive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'Monthly sales trends'!$B$2:$G$2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sales trends'!$B$8:$G$8</c:f>
              <c:numCache>
                <c:formatCode>General</c:formatCode>
                <c:ptCount val="6"/>
                <c:pt idx="0">
                  <c:v>80</c:v>
                </c:pt>
                <c:pt idx="1">
                  <c:v>61</c:v>
                </c:pt>
                <c:pt idx="2">
                  <c:v>66</c:v>
                </c:pt>
                <c:pt idx="3">
                  <c:v>93</c:v>
                </c:pt>
                <c:pt idx="4">
                  <c:v>87</c:v>
                </c:pt>
                <c:pt idx="5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6D-4BED-903F-CE05CAB065A7}"/>
            </c:ext>
          </c:extLst>
        </c:ser>
        <c:ser>
          <c:idx val="6"/>
          <c:order val="6"/>
          <c:tx>
            <c:strRef>
              <c:f>'Monthly sales trends'!$A$9</c:f>
              <c:strCache>
                <c:ptCount val="1"/>
                <c:pt idx="0">
                  <c:v>Water Colors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'Monthly sales trends'!$B$2:$G$2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sales trends'!$B$9:$G$9</c:f>
              <c:numCache>
                <c:formatCode>General</c:formatCode>
                <c:ptCount val="6"/>
                <c:pt idx="0">
                  <c:v>52</c:v>
                </c:pt>
                <c:pt idx="1">
                  <c:v>27</c:v>
                </c:pt>
                <c:pt idx="2">
                  <c:v>52</c:v>
                </c:pt>
                <c:pt idx="3">
                  <c:v>90</c:v>
                </c:pt>
                <c:pt idx="4">
                  <c:v>68</c:v>
                </c:pt>
                <c:pt idx="5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6D-4BED-903F-CE05CAB06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919247"/>
        <c:axId val="583927887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'Monthly sales trends'!$A$6</c15:sqref>
                        </c15:formulaRef>
                      </c:ext>
                    </c:extLst>
                    <c:strCache>
                      <c:ptCount val="1"/>
                      <c:pt idx="0">
                        <c:v>A4 Sheets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'Monthly sales trends'!$B$2:$G$2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'Monthly sales trends'!$B$6:$G$6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54</c:v>
                      </c:pt>
                      <c:pt idx="1">
                        <c:v>41</c:v>
                      </c:pt>
                      <c:pt idx="2">
                        <c:v>55</c:v>
                      </c:pt>
                      <c:pt idx="3">
                        <c:v>72</c:v>
                      </c:pt>
                      <c:pt idx="4">
                        <c:v>93</c:v>
                      </c:pt>
                      <c:pt idx="5">
                        <c:v>129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B6D-4BED-903F-CE05CAB065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sales trends'!$A$7</c15:sqref>
                        </c15:formulaRef>
                      </c:ext>
                    </c:extLst>
                    <c:strCache>
                      <c:ptCount val="1"/>
                      <c:pt idx="0">
                        <c:v>Color Pencils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sales trends'!$B$2:$G$2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sales trends'!$B$7:$G$7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50</c:v>
                      </c:pt>
                      <c:pt idx="1">
                        <c:v>35</c:v>
                      </c:pt>
                      <c:pt idx="2">
                        <c:v>58</c:v>
                      </c:pt>
                      <c:pt idx="3">
                        <c:v>89</c:v>
                      </c:pt>
                      <c:pt idx="4">
                        <c:v>82</c:v>
                      </c:pt>
                      <c:pt idx="5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B6D-4BED-903F-CE05CAB065A7}"/>
                  </c:ext>
                </c:extLst>
              </c15:ser>
            </c15:filteredLineSeries>
          </c:ext>
        </c:extLst>
      </c:lineChart>
      <c:catAx>
        <c:axId val="583919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 sz="1200"/>
              </a:p>
              <a:p>
                <a:pPr>
                  <a:defRPr/>
                </a:pPr>
                <a:r>
                  <a:rPr lang="en-IN" sz="1200" b="1"/>
                  <a:t>Month</a:t>
                </a:r>
                <a:r>
                  <a:rPr lang="en-IN" sz="1200" baseline="0"/>
                  <a:t> </a:t>
                </a:r>
                <a:r>
                  <a:rPr lang="en-IN" sz="1200" b="1" baseline="0"/>
                  <a:t>Name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27887"/>
        <c:crosses val="autoZero"/>
        <c:auto val="1"/>
        <c:lblAlgn val="ctr"/>
        <c:lblOffset val="100"/>
        <c:noMultiLvlLbl val="0"/>
      </c:catAx>
      <c:valAx>
        <c:axId val="58392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</a:t>
                </a:r>
                <a:r>
                  <a:rPr lang="en-IN" sz="1200" b="1" baseline="0"/>
                  <a:t> Sold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3.504161191414805E-3"/>
              <c:y val="0.37622030278114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>
                <a:effectLst/>
              </a:rPr>
              <a:t>Month-wise Total Sales vs Average Monthly Sales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825449491276972E-2"/>
          <c:y val="0.17416666666666669"/>
          <c:w val="0.87927570895020102"/>
          <c:h val="0.612530621172353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sales trends'!$B$18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trends'!$A$19:$A$24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sales trends'!$B$19:$B$24</c:f>
              <c:numCache>
                <c:formatCode>General</c:formatCode>
                <c:ptCount val="6"/>
                <c:pt idx="0">
                  <c:v>998</c:v>
                </c:pt>
                <c:pt idx="1">
                  <c:v>708</c:v>
                </c:pt>
                <c:pt idx="2">
                  <c:v>972</c:v>
                </c:pt>
                <c:pt idx="3">
                  <c:v>1651</c:v>
                </c:pt>
                <c:pt idx="4">
                  <c:v>1298</c:v>
                </c:pt>
                <c:pt idx="5">
                  <c:v>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F-4A8B-893E-83F919746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740975"/>
        <c:axId val="1308740495"/>
      </c:barChart>
      <c:lineChart>
        <c:grouping val="standard"/>
        <c:varyColors val="0"/>
        <c:ser>
          <c:idx val="1"/>
          <c:order val="1"/>
          <c:tx>
            <c:strRef>
              <c:f>'Monthly sales trends'!$C$18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'Monthly sales trends'!$A$19:$A$24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sales trends'!$C$19:$C$24</c:f>
              <c:numCache>
                <c:formatCode>General</c:formatCode>
                <c:ptCount val="6"/>
                <c:pt idx="0">
                  <c:v>1304.67</c:v>
                </c:pt>
                <c:pt idx="1">
                  <c:v>1304.67</c:v>
                </c:pt>
                <c:pt idx="2">
                  <c:v>1304.67</c:v>
                </c:pt>
                <c:pt idx="3">
                  <c:v>1304.67</c:v>
                </c:pt>
                <c:pt idx="4">
                  <c:v>1304.67</c:v>
                </c:pt>
                <c:pt idx="5">
                  <c:v>1304.67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F-4A8B-893E-83F919746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740975"/>
        <c:axId val="1308740495"/>
      </c:lineChart>
      <c:catAx>
        <c:axId val="1308740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40495"/>
        <c:crosses val="autoZero"/>
        <c:auto val="1"/>
        <c:lblAlgn val="ctr"/>
        <c:lblOffset val="100"/>
        <c:noMultiLvlLbl val="0"/>
      </c:catAx>
      <c:valAx>
        <c:axId val="13087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</a:t>
                </a:r>
                <a:r>
                  <a:rPr lang="en-IN" sz="1200" b="1" baseline="0"/>
                  <a:t> Sold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1.9295709636945905E-3"/>
              <c:y val="0.36425127271911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4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39610962029385999"/>
          <c:y val="0.92352050379134254"/>
          <c:w val="0.26557726130844073"/>
          <c:h val="6.3856717627533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Top 5 Best-Selling Products (Units Sold, Monthly)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selling Products'!$B$2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selling Products'!$A$3:$A$7</c:f>
              <c:strCache>
                <c:ptCount val="5"/>
                <c:pt idx="0">
                  <c:v>Apsara Matt Magic 2.0 (10 pencils)</c:v>
                </c:pt>
                <c:pt idx="1">
                  <c:v>Cello Finegrip (10 pens)</c:v>
                </c:pt>
                <c:pt idx="2">
                  <c:v>Classmate Pulse 6 subject (300 pages)</c:v>
                </c:pt>
                <c:pt idx="3">
                  <c:v>Nataraj 621 Writing Pencils (10 pencils)</c:v>
                </c:pt>
                <c:pt idx="4">
                  <c:v>Pentonic 0.7mm (10 pens)</c:v>
                </c:pt>
              </c:strCache>
            </c:strRef>
          </c:cat>
          <c:val>
            <c:numRef>
              <c:f>'Top selling Products'!$B$3:$B$7</c:f>
              <c:numCache>
                <c:formatCode>General</c:formatCode>
                <c:ptCount val="5"/>
                <c:pt idx="0">
                  <c:v>31</c:v>
                </c:pt>
                <c:pt idx="1">
                  <c:v>32</c:v>
                </c:pt>
                <c:pt idx="2">
                  <c:v>18</c:v>
                </c:pt>
                <c:pt idx="3">
                  <c:v>34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9-4515-B06A-B8BCF3A3A00F}"/>
            </c:ext>
          </c:extLst>
        </c:ser>
        <c:ser>
          <c:idx val="1"/>
          <c:order val="1"/>
          <c:tx>
            <c:strRef>
              <c:f>'Top selling Products'!$C$2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selling Products'!$A$3:$A$7</c:f>
              <c:strCache>
                <c:ptCount val="5"/>
                <c:pt idx="0">
                  <c:v>Apsara Matt Magic 2.0 (10 pencils)</c:v>
                </c:pt>
                <c:pt idx="1">
                  <c:v>Cello Finegrip (10 pens)</c:v>
                </c:pt>
                <c:pt idx="2">
                  <c:v>Classmate Pulse 6 subject (300 pages)</c:v>
                </c:pt>
                <c:pt idx="3">
                  <c:v>Nataraj 621 Writing Pencils (10 pencils)</c:v>
                </c:pt>
                <c:pt idx="4">
                  <c:v>Pentonic 0.7mm (10 pens)</c:v>
                </c:pt>
              </c:strCache>
            </c:strRef>
          </c:cat>
          <c:val>
            <c:numRef>
              <c:f>'Top selling Products'!$C$3:$C$7</c:f>
              <c:numCache>
                <c:formatCode>General</c:formatCode>
                <c:ptCount val="5"/>
                <c:pt idx="0">
                  <c:v>25</c:v>
                </c:pt>
                <c:pt idx="1">
                  <c:v>28</c:v>
                </c:pt>
                <c:pt idx="2">
                  <c:v>12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9-4515-B06A-B8BCF3A3A00F}"/>
            </c:ext>
          </c:extLst>
        </c:ser>
        <c:ser>
          <c:idx val="2"/>
          <c:order val="2"/>
          <c:tx>
            <c:strRef>
              <c:f>'Top selling Products'!$D$2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selling Products'!$A$3:$A$7</c:f>
              <c:strCache>
                <c:ptCount val="5"/>
                <c:pt idx="0">
                  <c:v>Apsara Matt Magic 2.0 (10 pencils)</c:v>
                </c:pt>
                <c:pt idx="1">
                  <c:v>Cello Finegrip (10 pens)</c:v>
                </c:pt>
                <c:pt idx="2">
                  <c:v>Classmate Pulse 6 subject (300 pages)</c:v>
                </c:pt>
                <c:pt idx="3">
                  <c:v>Nataraj 621 Writing Pencils (10 pencils)</c:v>
                </c:pt>
                <c:pt idx="4">
                  <c:v>Pentonic 0.7mm (10 pens)</c:v>
                </c:pt>
              </c:strCache>
            </c:strRef>
          </c:cat>
          <c:val>
            <c:numRef>
              <c:f>'Top selling Products'!$D$3:$D$7</c:f>
              <c:numCache>
                <c:formatCode>General</c:formatCode>
                <c:ptCount val="5"/>
                <c:pt idx="0">
                  <c:v>28</c:v>
                </c:pt>
                <c:pt idx="1">
                  <c:v>32</c:v>
                </c:pt>
                <c:pt idx="2">
                  <c:v>23</c:v>
                </c:pt>
                <c:pt idx="3">
                  <c:v>32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9-4515-B06A-B8BCF3A3A00F}"/>
            </c:ext>
          </c:extLst>
        </c:ser>
        <c:ser>
          <c:idx val="3"/>
          <c:order val="3"/>
          <c:tx>
            <c:strRef>
              <c:f>'Top selling Products'!$E$2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selling Products'!$A$3:$A$7</c:f>
              <c:strCache>
                <c:ptCount val="5"/>
                <c:pt idx="0">
                  <c:v>Apsara Matt Magic 2.0 (10 pencils)</c:v>
                </c:pt>
                <c:pt idx="1">
                  <c:v>Cello Finegrip (10 pens)</c:v>
                </c:pt>
                <c:pt idx="2">
                  <c:v>Classmate Pulse 6 subject (300 pages)</c:v>
                </c:pt>
                <c:pt idx="3">
                  <c:v>Nataraj 621 Writing Pencils (10 pencils)</c:v>
                </c:pt>
                <c:pt idx="4">
                  <c:v>Pentonic 0.7mm (10 pens)</c:v>
                </c:pt>
              </c:strCache>
            </c:strRef>
          </c:cat>
          <c:val>
            <c:numRef>
              <c:f>'Top selling Products'!$E$3:$E$7</c:f>
              <c:numCache>
                <c:formatCode>General</c:formatCode>
                <c:ptCount val="5"/>
                <c:pt idx="0">
                  <c:v>39</c:v>
                </c:pt>
                <c:pt idx="1">
                  <c:v>43</c:v>
                </c:pt>
                <c:pt idx="2">
                  <c:v>49</c:v>
                </c:pt>
                <c:pt idx="3">
                  <c:v>44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59-4515-B06A-B8BCF3A3A00F}"/>
            </c:ext>
          </c:extLst>
        </c:ser>
        <c:ser>
          <c:idx val="4"/>
          <c:order val="4"/>
          <c:tx>
            <c:strRef>
              <c:f>'Top selling Products'!$F$2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selling Products'!$A$3:$A$7</c:f>
              <c:strCache>
                <c:ptCount val="5"/>
                <c:pt idx="0">
                  <c:v>Apsara Matt Magic 2.0 (10 pencils)</c:v>
                </c:pt>
                <c:pt idx="1">
                  <c:v>Cello Finegrip (10 pens)</c:v>
                </c:pt>
                <c:pt idx="2">
                  <c:v>Classmate Pulse 6 subject (300 pages)</c:v>
                </c:pt>
                <c:pt idx="3">
                  <c:v>Nataraj 621 Writing Pencils (10 pencils)</c:v>
                </c:pt>
                <c:pt idx="4">
                  <c:v>Pentonic 0.7mm (10 pens)</c:v>
                </c:pt>
              </c:strCache>
            </c:strRef>
          </c:cat>
          <c:val>
            <c:numRef>
              <c:f>'Top selling Products'!$F$3:$F$7</c:f>
              <c:numCache>
                <c:formatCode>General</c:formatCode>
                <c:ptCount val="5"/>
                <c:pt idx="0">
                  <c:v>24</c:v>
                </c:pt>
                <c:pt idx="1">
                  <c:v>33</c:v>
                </c:pt>
                <c:pt idx="2">
                  <c:v>27</c:v>
                </c:pt>
                <c:pt idx="3">
                  <c:v>32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59-4515-B06A-B8BCF3A3A00F}"/>
            </c:ext>
          </c:extLst>
        </c:ser>
        <c:ser>
          <c:idx val="5"/>
          <c:order val="5"/>
          <c:tx>
            <c:strRef>
              <c:f>'Top selling Products'!$G$2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01-41E1-B679-A921F85AF89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01-41E1-B679-A921F85AF89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A59-4515-B06A-B8BCF3A3A00F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01-41E1-B679-A921F85AF89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01-41E1-B679-A921F85AF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selling Products'!$A$3:$A$7</c:f>
              <c:strCache>
                <c:ptCount val="5"/>
                <c:pt idx="0">
                  <c:v>Apsara Matt Magic 2.0 (10 pencils)</c:v>
                </c:pt>
                <c:pt idx="1">
                  <c:v>Cello Finegrip (10 pens)</c:v>
                </c:pt>
                <c:pt idx="2">
                  <c:v>Classmate Pulse 6 subject (300 pages)</c:v>
                </c:pt>
                <c:pt idx="3">
                  <c:v>Nataraj 621 Writing Pencils (10 pencils)</c:v>
                </c:pt>
                <c:pt idx="4">
                  <c:v>Pentonic 0.7mm (10 pens)</c:v>
                </c:pt>
              </c:strCache>
            </c:strRef>
          </c:cat>
          <c:val>
            <c:numRef>
              <c:f>'Top selling Products'!$G$3:$G$7</c:f>
              <c:numCache>
                <c:formatCode>General</c:formatCode>
                <c:ptCount val="5"/>
                <c:pt idx="0">
                  <c:v>48</c:v>
                </c:pt>
                <c:pt idx="1">
                  <c:v>49</c:v>
                </c:pt>
                <c:pt idx="2">
                  <c:v>62</c:v>
                </c:pt>
                <c:pt idx="3">
                  <c:v>49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59-4515-B06A-B8BCF3A3A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475471"/>
        <c:axId val="400476911"/>
      </c:barChart>
      <c:catAx>
        <c:axId val="400475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Product</a:t>
                </a:r>
                <a:r>
                  <a:rPr lang="en-IN" sz="1200" b="1" baseline="0"/>
                  <a:t> Name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8.7546503047996986E-3"/>
              <c:y val="0.32147490110744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76911"/>
        <c:crosses val="autoZero"/>
        <c:auto val="1"/>
        <c:lblAlgn val="ctr"/>
        <c:lblOffset val="100"/>
        <c:noMultiLvlLbl val="0"/>
      </c:catAx>
      <c:valAx>
        <c:axId val="40047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</a:t>
                </a:r>
                <a:r>
                  <a:rPr lang="en-IN" sz="1200" b="1" baseline="0"/>
                  <a:t> Sold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0.55075559206176905"/>
              <c:y val="0.82041373526534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7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Cello Finegrip (10 pens) monthly</a:t>
            </a:r>
            <a:r>
              <a:rPr lang="en-US" b="1" baseline="0"/>
              <a:t> activity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962581670938963E-2"/>
          <c:y val="0.15400406716710696"/>
          <c:w val="0.89763888559137384"/>
          <c:h val="0.59386197787251838"/>
        </c:manualLayout>
      </c:layout>
      <c:lineChart>
        <c:grouping val="standard"/>
        <c:varyColors val="0"/>
        <c:ser>
          <c:idx val="1"/>
          <c:order val="1"/>
          <c:tx>
            <c:strRef>
              <c:f>'Top selling Products'!$A$4</c:f>
              <c:strCache>
                <c:ptCount val="1"/>
                <c:pt idx="0">
                  <c:v>Cello Finegrip (10 pens)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selling Products'!$B$2:$G$2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'Top selling Products'!$B$4:$G$4</c:f>
              <c:numCache>
                <c:formatCode>General</c:formatCode>
                <c:ptCount val="6"/>
                <c:pt idx="0">
                  <c:v>32</c:v>
                </c:pt>
                <c:pt idx="1">
                  <c:v>28</c:v>
                </c:pt>
                <c:pt idx="2">
                  <c:v>32</c:v>
                </c:pt>
                <c:pt idx="3">
                  <c:v>43</c:v>
                </c:pt>
                <c:pt idx="4">
                  <c:v>33</c:v>
                </c:pt>
                <c:pt idx="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72-405B-8152-9F1E942C7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15295"/>
        <c:axId val="15575124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'Top selling Products'!$A$3</c15:sqref>
                        </c15:formulaRef>
                      </c:ext>
                    </c:extLst>
                    <c:strCache>
                      <c:ptCount val="1"/>
                      <c:pt idx="0">
                        <c:v>Apsara Matt Magic 2.0 (10 pencils)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'Top selling Products'!$B$2:$G$2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'Top selling Products'!$B$3:$G$3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31</c:v>
                      </c:pt>
                      <c:pt idx="1">
                        <c:v>25</c:v>
                      </c:pt>
                      <c:pt idx="2">
                        <c:v>28</c:v>
                      </c:pt>
                      <c:pt idx="3">
                        <c:v>39</c:v>
                      </c:pt>
                      <c:pt idx="4">
                        <c:v>24</c:v>
                      </c:pt>
                      <c:pt idx="5">
                        <c:v>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172-405B-8152-9F1E942C7CFB}"/>
                  </c:ext>
                </c:extLst>
              </c15:ser>
            </c15:filteredLineSeries>
          </c:ext>
        </c:extLst>
      </c:lineChart>
      <c:catAx>
        <c:axId val="155751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Months</a:t>
                </a:r>
              </a:p>
            </c:rich>
          </c:tx>
          <c:layout>
            <c:manualLayout>
              <c:xMode val="edge"/>
              <c:yMode val="edge"/>
              <c:x val="0.47856661997385302"/>
              <c:y val="0.83588490309418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12415"/>
        <c:crosses val="autoZero"/>
        <c:auto val="1"/>
        <c:lblAlgn val="ctr"/>
        <c:lblOffset val="100"/>
        <c:noMultiLvlLbl val="0"/>
      </c:catAx>
      <c:valAx>
        <c:axId val="155751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</a:t>
                </a:r>
                <a:r>
                  <a:rPr lang="en-IN" sz="1200" b="1" baseline="0"/>
                  <a:t> Sold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7.781284631886265E-3"/>
              <c:y val="0.36916832317631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1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 Monthly Closing Stock by Product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7446312454449124E-2"/>
          <c:y val="0.13222816399286988"/>
          <c:w val="0.88100091271450176"/>
          <c:h val="0.644159052310974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'Monthy closing stock'!$A$25</c:f>
              <c:strCache>
                <c:ptCount val="1"/>
                <c:pt idx="0">
                  <c:v>Pencils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875739435811792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9F-406E-80A8-1F70EEC4616F}"/>
                </c:ext>
              </c:extLst>
            </c:dLbl>
            <c:dLbl>
              <c:idx val="1"/>
              <c:layout>
                <c:manualLayout>
                  <c:x val="-5.9068045768588453E-3"/>
                  <c:y val="-6.579248133126044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9F-406E-80A8-1F70EEC4616F}"/>
                </c:ext>
              </c:extLst>
            </c:dLbl>
            <c:dLbl>
              <c:idx val="2"/>
              <c:layout>
                <c:manualLayout>
                  <c:x val="-5.9068045768588453E-3"/>
                  <c:y val="-6.579248133126044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9F-406E-80A8-1F70EEC4616F}"/>
                </c:ext>
              </c:extLst>
            </c:dLbl>
            <c:dLbl>
              <c:idx val="3"/>
              <c:layout>
                <c:manualLayout>
                  <c:x val="-3.9378697179059691E-3"/>
                  <c:y val="7.17744451326746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9F-406E-80A8-1F70EEC4616F}"/>
                </c:ext>
              </c:extLst>
            </c:dLbl>
            <c:dLbl>
              <c:idx val="4"/>
              <c:layout>
                <c:manualLayout>
                  <c:x val="-7.8757394358117926E-3"/>
                  <c:y val="7.17744451326746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9F-406E-80A8-1F70EEC4616F}"/>
                </c:ext>
              </c:extLst>
            </c:dLbl>
            <c:dLbl>
              <c:idx val="5"/>
              <c:layout>
                <c:manualLayout>
                  <c:x val="-7.875739435811792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9F-406E-80A8-1F70EEC461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'Monthy closing stock'!$B$24:$G$24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'Monthy closing stock'!$B$25:$G$25</c:f>
              <c:numCache>
                <c:formatCode>General</c:formatCode>
                <c:ptCount val="6"/>
                <c:pt idx="0">
                  <c:v>148</c:v>
                </c:pt>
                <c:pt idx="1">
                  <c:v>175</c:v>
                </c:pt>
                <c:pt idx="2">
                  <c:v>176</c:v>
                </c:pt>
                <c:pt idx="3">
                  <c:v>204</c:v>
                </c:pt>
                <c:pt idx="4">
                  <c:v>272</c:v>
                </c:pt>
                <c:pt idx="5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4-40C0-98D4-6A5B74C629CA}"/>
            </c:ext>
          </c:extLst>
        </c:ser>
        <c:ser>
          <c:idx val="1"/>
          <c:order val="1"/>
          <c:tx>
            <c:strRef>
              <c:f>'Monthy closing stock'!$A$26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'Monthy closing stock'!$B$24:$G$24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'Monthy closing stock'!$B$26:$G$26</c:f>
              <c:numCache>
                <c:formatCode>General</c:formatCode>
                <c:ptCount val="6"/>
                <c:pt idx="0">
                  <c:v>307</c:v>
                </c:pt>
                <c:pt idx="1">
                  <c:v>310</c:v>
                </c:pt>
                <c:pt idx="2">
                  <c:v>334</c:v>
                </c:pt>
                <c:pt idx="3">
                  <c:v>349</c:v>
                </c:pt>
                <c:pt idx="4">
                  <c:v>457</c:v>
                </c:pt>
                <c:pt idx="5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4-40C0-98D4-6A5B74C629CA}"/>
            </c:ext>
          </c:extLst>
        </c:ser>
        <c:ser>
          <c:idx val="2"/>
          <c:order val="2"/>
          <c:tx>
            <c:strRef>
              <c:f>'Monthy closing stock'!$A$27</c:f>
              <c:strCache>
                <c:ptCount val="1"/>
                <c:pt idx="0">
                  <c:v>Spiral Notebook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closing stock'!$B$24:$G$24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'Monthy closing stock'!$B$27:$G$27</c:f>
              <c:numCache>
                <c:formatCode>General</c:formatCode>
                <c:ptCount val="6"/>
                <c:pt idx="0">
                  <c:v>139</c:v>
                </c:pt>
                <c:pt idx="1">
                  <c:v>138</c:v>
                </c:pt>
                <c:pt idx="2">
                  <c:v>146</c:v>
                </c:pt>
                <c:pt idx="3">
                  <c:v>155</c:v>
                </c:pt>
                <c:pt idx="4">
                  <c:v>196</c:v>
                </c:pt>
                <c:pt idx="5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4-40C0-98D4-6A5B74C629CA}"/>
            </c:ext>
          </c:extLst>
        </c:ser>
        <c:ser>
          <c:idx val="3"/>
          <c:order val="3"/>
          <c:tx>
            <c:strRef>
              <c:f>'Monthy closing stock'!$A$28</c:f>
              <c:strCache>
                <c:ptCount val="1"/>
                <c:pt idx="0">
                  <c:v>Ruled Notebook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'Monthy closing stock'!$B$24:$G$24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'Monthy closing stock'!$B$28:$G$28</c:f>
              <c:numCache>
                <c:formatCode>General</c:formatCode>
                <c:ptCount val="6"/>
                <c:pt idx="0">
                  <c:v>159</c:v>
                </c:pt>
                <c:pt idx="1">
                  <c:v>175</c:v>
                </c:pt>
                <c:pt idx="2">
                  <c:v>195</c:v>
                </c:pt>
                <c:pt idx="3">
                  <c:v>196</c:v>
                </c:pt>
                <c:pt idx="4">
                  <c:v>246</c:v>
                </c:pt>
                <c:pt idx="5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4-40C0-98D4-6A5B74C629CA}"/>
            </c:ext>
          </c:extLst>
        </c:ser>
        <c:ser>
          <c:idx val="4"/>
          <c:order val="4"/>
          <c:tx>
            <c:strRef>
              <c:f>'Monthy closing stock'!$A$29</c:f>
              <c:strCache>
                <c:ptCount val="1"/>
                <c:pt idx="0">
                  <c:v>Adhesive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closing stock'!$B$24:$G$24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'Monthy closing stock'!$B$29:$G$29</c:f>
              <c:numCache>
                <c:formatCode>General</c:formatCode>
                <c:ptCount val="6"/>
                <c:pt idx="0">
                  <c:v>175</c:v>
                </c:pt>
                <c:pt idx="1">
                  <c:v>152</c:v>
                </c:pt>
                <c:pt idx="2">
                  <c:v>164</c:v>
                </c:pt>
                <c:pt idx="3">
                  <c:v>180</c:v>
                </c:pt>
                <c:pt idx="4">
                  <c:v>212</c:v>
                </c:pt>
                <c:pt idx="5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4-40C0-98D4-6A5B74C629CA}"/>
            </c:ext>
          </c:extLst>
        </c:ser>
        <c:ser>
          <c:idx val="5"/>
          <c:order val="5"/>
          <c:tx>
            <c:strRef>
              <c:f>'Monthy closing stock'!$A$30</c:f>
              <c:strCache>
                <c:ptCount val="1"/>
                <c:pt idx="0">
                  <c:v>Markers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closing stock'!$B$24:$G$24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'Monthy closing stock'!$B$30:$G$30</c:f>
              <c:numCache>
                <c:formatCode>General</c:formatCode>
                <c:ptCount val="6"/>
                <c:pt idx="0">
                  <c:v>119</c:v>
                </c:pt>
                <c:pt idx="1">
                  <c:v>139</c:v>
                </c:pt>
                <c:pt idx="2">
                  <c:v>160</c:v>
                </c:pt>
                <c:pt idx="3">
                  <c:v>184</c:v>
                </c:pt>
                <c:pt idx="4">
                  <c:v>253</c:v>
                </c:pt>
                <c:pt idx="5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4-40C0-98D4-6A5B74C62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348304"/>
        <c:axId val="1092349264"/>
      </c:barChart>
      <c:catAx>
        <c:axId val="109234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Months</a:t>
                </a:r>
              </a:p>
            </c:rich>
          </c:tx>
          <c:layout>
            <c:manualLayout>
              <c:xMode val="edge"/>
              <c:yMode val="edge"/>
              <c:x val="0.47656533005521334"/>
              <c:y val="0.85196036324336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49264"/>
        <c:crosses val="autoZero"/>
        <c:auto val="1"/>
        <c:lblAlgn val="ctr"/>
        <c:lblOffset val="100"/>
        <c:noMultiLvlLbl val="0"/>
      </c:catAx>
      <c:valAx>
        <c:axId val="10923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</a:t>
                </a:r>
                <a:r>
                  <a:rPr lang="en-IN" sz="1200" b="1" baseline="0"/>
                  <a:t> left in Stock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5.0061989297975054E-3"/>
              <c:y val="0.30191895799121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4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  <a:latin typeface="+mn-lt"/>
              </a:rPr>
              <a:t>Cumulative Units Sold Over Time</a:t>
            </a:r>
            <a:endParaRPr lang="en-IN" b="1" i="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005836312193656"/>
          <c:y val="0.12180623973727422"/>
          <c:w val="0.879669811580857"/>
          <c:h val="0.68534191846708814"/>
        </c:manualLayout>
      </c:layout>
      <c:lineChart>
        <c:grouping val="standard"/>
        <c:varyColors val="0"/>
        <c:ser>
          <c:idx val="1"/>
          <c:order val="1"/>
          <c:tx>
            <c:strRef>
              <c:f>'Cummulative sales'!$I$27</c:f>
              <c:strCache>
                <c:ptCount val="1"/>
                <c:pt idx="0">
                  <c:v>Adhesive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'Cummulative sales'!$J$25:$O$25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'Cummulative sales'!$J$27:$O$27</c:f>
              <c:numCache>
                <c:formatCode>General</c:formatCode>
                <c:ptCount val="6"/>
                <c:pt idx="0">
                  <c:v>80</c:v>
                </c:pt>
                <c:pt idx="1">
                  <c:v>141</c:v>
                </c:pt>
                <c:pt idx="2">
                  <c:v>207</c:v>
                </c:pt>
                <c:pt idx="3">
                  <c:v>300</c:v>
                </c:pt>
                <c:pt idx="4">
                  <c:v>387</c:v>
                </c:pt>
                <c:pt idx="5">
                  <c:v>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4-44F7-94D3-5086A11D6020}"/>
            </c:ext>
          </c:extLst>
        </c:ser>
        <c:ser>
          <c:idx val="9"/>
          <c:order val="9"/>
          <c:tx>
            <c:strRef>
              <c:f>'Cummulative sales'!$I$35</c:f>
              <c:strCache>
                <c:ptCount val="1"/>
                <c:pt idx="0">
                  <c:v>Pencils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'Cummulative sales'!$J$25:$O$25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'Cummulative sales'!$J$35:$O$35</c:f>
              <c:numCache>
                <c:formatCode>General</c:formatCode>
                <c:ptCount val="6"/>
                <c:pt idx="0">
                  <c:v>121</c:v>
                </c:pt>
                <c:pt idx="1">
                  <c:v>205</c:v>
                </c:pt>
                <c:pt idx="2">
                  <c:v>311</c:v>
                </c:pt>
                <c:pt idx="3">
                  <c:v>465</c:v>
                </c:pt>
                <c:pt idx="4">
                  <c:v>568</c:v>
                </c:pt>
                <c:pt idx="5">
                  <c:v>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AA4-44F7-94D3-5086A11D6020}"/>
            </c:ext>
          </c:extLst>
        </c:ser>
        <c:ser>
          <c:idx val="10"/>
          <c:order val="10"/>
          <c:tx>
            <c:strRef>
              <c:f>'Cummulative sales'!$I$36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'Cummulative sales'!$J$25:$O$25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'Cummulative sales'!$J$36:$O$36</c:f>
              <c:numCache>
                <c:formatCode>General</c:formatCode>
                <c:ptCount val="6"/>
                <c:pt idx="0">
                  <c:v>215</c:v>
                </c:pt>
                <c:pt idx="1">
                  <c:v>383</c:v>
                </c:pt>
                <c:pt idx="2">
                  <c:v>551</c:v>
                </c:pt>
                <c:pt idx="3">
                  <c:v>801</c:v>
                </c:pt>
                <c:pt idx="4">
                  <c:v>1009</c:v>
                </c:pt>
                <c:pt idx="5">
                  <c:v>1313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A4-44F7-94D3-5086A11D6020}"/>
            </c:ext>
          </c:extLst>
        </c:ser>
        <c:ser>
          <c:idx val="13"/>
          <c:order val="13"/>
          <c:tx>
            <c:strRef>
              <c:f>'Cummulative sales'!$I$39</c:f>
              <c:strCache>
                <c:ptCount val="1"/>
                <c:pt idx="0">
                  <c:v>Ruled Notebook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'Cummulative sales'!$J$25:$O$25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'Cummulative sales'!$J$39:$O$39</c:f>
              <c:numCache>
                <c:formatCode>General</c:formatCode>
                <c:ptCount val="6"/>
                <c:pt idx="0">
                  <c:v>63</c:v>
                </c:pt>
                <c:pt idx="1">
                  <c:v>110</c:v>
                </c:pt>
                <c:pt idx="2">
                  <c:v>188</c:v>
                </c:pt>
                <c:pt idx="3">
                  <c:v>377</c:v>
                </c:pt>
                <c:pt idx="4">
                  <c:v>474</c:v>
                </c:pt>
                <c:pt idx="5">
                  <c:v>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AA4-44F7-94D3-5086A11D6020}"/>
            </c:ext>
          </c:extLst>
        </c:ser>
        <c:ser>
          <c:idx val="14"/>
          <c:order val="14"/>
          <c:tx>
            <c:strRef>
              <c:f>'Cummulative sales'!$I$40</c:f>
              <c:strCache>
                <c:ptCount val="1"/>
                <c:pt idx="0">
                  <c:v>Spiral Notebook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'Cummulative sales'!$J$25:$O$25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'Cummulative sales'!$J$40:$O$40</c:f>
              <c:numCache>
                <c:formatCode>General</c:formatCode>
                <c:ptCount val="6"/>
                <c:pt idx="0">
                  <c:v>48</c:v>
                </c:pt>
                <c:pt idx="1">
                  <c:v>79</c:v>
                </c:pt>
                <c:pt idx="2">
                  <c:v>137</c:v>
                </c:pt>
                <c:pt idx="3">
                  <c:v>268</c:v>
                </c:pt>
                <c:pt idx="4">
                  <c:v>340</c:v>
                </c:pt>
                <c:pt idx="5">
                  <c:v>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A4-44F7-94D3-5086A11D6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074944"/>
        <c:axId val="1119073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'Cummulative sales'!$I$26</c15:sqref>
                        </c15:formulaRef>
                      </c:ext>
                    </c:extLst>
                    <c:strCache>
                      <c:ptCount val="1"/>
                      <c:pt idx="0">
                        <c:v>A4 Sheets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'Cummulative sales'!$J$26:$O$26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54</c:v>
                      </c:pt>
                      <c:pt idx="1">
                        <c:v>95</c:v>
                      </c:pt>
                      <c:pt idx="2">
                        <c:v>150</c:v>
                      </c:pt>
                      <c:pt idx="3">
                        <c:v>222</c:v>
                      </c:pt>
                      <c:pt idx="4">
                        <c:v>315</c:v>
                      </c:pt>
                      <c:pt idx="5">
                        <c:v>444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AA4-44F7-94D3-5086A11D60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sales'!$I$28</c15:sqref>
                        </c15:formulaRef>
                      </c:ext>
                    </c:extLst>
                    <c:strCache>
                      <c:ptCount val="1"/>
                      <c:pt idx="0">
                        <c:v>Adhesive Tape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sales'!$J$28:$O$28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34</c:v>
                      </c:pt>
                      <c:pt idx="1">
                        <c:v>61</c:v>
                      </c:pt>
                      <c:pt idx="2">
                        <c:v>94</c:v>
                      </c:pt>
                      <c:pt idx="3">
                        <c:v>149</c:v>
                      </c:pt>
                      <c:pt idx="4">
                        <c:v>206</c:v>
                      </c:pt>
                      <c:pt idx="5">
                        <c:v>292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A4-44F7-94D3-5086A11D60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sales'!$I$29</c15:sqref>
                        </c15:formulaRef>
                      </c:ext>
                    </c:extLst>
                    <c:strCache>
                      <c:ptCount val="1"/>
                      <c:pt idx="0">
                        <c:v>Chart Paper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sales'!$J$29:$O$29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</c:v>
                      </c:pt>
                      <c:pt idx="1">
                        <c:v>47</c:v>
                      </c:pt>
                      <c:pt idx="2">
                        <c:v>76</c:v>
                      </c:pt>
                      <c:pt idx="3">
                        <c:v>117</c:v>
                      </c:pt>
                      <c:pt idx="4">
                        <c:v>175</c:v>
                      </c:pt>
                      <c:pt idx="5">
                        <c:v>266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A4-44F7-94D3-5086A11D602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sales'!$I$30</c15:sqref>
                        </c15:formulaRef>
                      </c:ext>
                    </c:extLst>
                    <c:strCache>
                      <c:ptCount val="1"/>
                      <c:pt idx="0">
                        <c:v>Color Pencils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sales'!$J$30:$O$30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50</c:v>
                      </c:pt>
                      <c:pt idx="1">
                        <c:v>85</c:v>
                      </c:pt>
                      <c:pt idx="2">
                        <c:v>143</c:v>
                      </c:pt>
                      <c:pt idx="3">
                        <c:v>232</c:v>
                      </c:pt>
                      <c:pt idx="4">
                        <c:v>314</c:v>
                      </c:pt>
                      <c:pt idx="5">
                        <c:v>416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A4-44F7-94D3-5086A11D60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sales'!$I$31</c15:sqref>
                        </c15:formulaRef>
                      </c:ext>
                    </c:extLst>
                    <c:strCache>
                      <c:ptCount val="1"/>
                      <c:pt idx="0">
                        <c:v>Drawing Book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sales'!$J$31:$O$31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26</c:v>
                      </c:pt>
                      <c:pt idx="1">
                        <c:v>41</c:v>
                      </c:pt>
                      <c:pt idx="2">
                        <c:v>69</c:v>
                      </c:pt>
                      <c:pt idx="3">
                        <c:v>116</c:v>
                      </c:pt>
                      <c:pt idx="4">
                        <c:v>152</c:v>
                      </c:pt>
                      <c:pt idx="5">
                        <c:v>211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A4-44F7-94D3-5086A11D602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sales'!$I$32</c15:sqref>
                        </c15:formulaRef>
                      </c:ext>
                    </c:extLst>
                    <c:strCache>
                      <c:ptCount val="1"/>
                      <c:pt idx="0">
                        <c:v>Geometry Box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sales'!$J$32:$O$32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</c:v>
                      </c:pt>
                      <c:pt idx="1">
                        <c:v>24</c:v>
                      </c:pt>
                      <c:pt idx="2">
                        <c:v>43</c:v>
                      </c:pt>
                      <c:pt idx="3">
                        <c:v>85</c:v>
                      </c:pt>
                      <c:pt idx="4">
                        <c:v>117</c:v>
                      </c:pt>
                      <c:pt idx="5">
                        <c:v>165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A4-44F7-94D3-5086A11D602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sales'!$I$33</c15:sqref>
                        </c15:formulaRef>
                      </c:ext>
                    </c:extLst>
                    <c:strCache>
                      <c:ptCount val="1"/>
                      <c:pt idx="0">
                        <c:v>Markers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sales'!$J$33:$O$33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59</c:v>
                      </c:pt>
                      <c:pt idx="1">
                        <c:v>101</c:v>
                      </c:pt>
                      <c:pt idx="2">
                        <c:v>153</c:v>
                      </c:pt>
                      <c:pt idx="3">
                        <c:v>241</c:v>
                      </c:pt>
                      <c:pt idx="4">
                        <c:v>313</c:v>
                      </c:pt>
                      <c:pt idx="5">
                        <c:v>415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A4-44F7-94D3-5086A11D602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sales'!$I$34</c15:sqref>
                        </c15:formulaRef>
                      </c:ext>
                    </c:extLst>
                    <c:strCache>
                      <c:ptCount val="1"/>
                      <c:pt idx="0">
                        <c:v>Notebook Cover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sales'!$J$34:$O$34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39</c:v>
                      </c:pt>
                      <c:pt idx="1">
                        <c:v>61</c:v>
                      </c:pt>
                      <c:pt idx="2">
                        <c:v>107</c:v>
                      </c:pt>
                      <c:pt idx="3">
                        <c:v>172</c:v>
                      </c:pt>
                      <c:pt idx="4">
                        <c:v>220</c:v>
                      </c:pt>
                      <c:pt idx="5">
                        <c:v>326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AA4-44F7-94D3-5086A11D602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sales'!$I$37</c15:sqref>
                        </c15:formulaRef>
                      </c:ext>
                    </c:extLst>
                    <c:strCache>
                      <c:ptCount val="1"/>
                      <c:pt idx="0">
                        <c:v>Project File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sales'!$J$37:$O$37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30</c:v>
                      </c:pt>
                      <c:pt idx="1">
                        <c:v>52</c:v>
                      </c:pt>
                      <c:pt idx="2">
                        <c:v>78</c:v>
                      </c:pt>
                      <c:pt idx="3">
                        <c:v>120</c:v>
                      </c:pt>
                      <c:pt idx="4">
                        <c:v>177</c:v>
                      </c:pt>
                      <c:pt idx="5">
                        <c:v>228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AA4-44F7-94D3-5086A11D602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sales'!$I$38</c15:sqref>
                        </c15:formulaRef>
                      </c:ext>
                    </c:extLst>
                    <c:strCache>
                      <c:ptCount val="1"/>
                      <c:pt idx="0">
                        <c:v>Register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sales'!$J$38:$O$38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31</c:v>
                      </c:pt>
                      <c:pt idx="1">
                        <c:v>54</c:v>
                      </c:pt>
                      <c:pt idx="2">
                        <c:v>100</c:v>
                      </c:pt>
                      <c:pt idx="3">
                        <c:v>203</c:v>
                      </c:pt>
                      <c:pt idx="4">
                        <c:v>259</c:v>
                      </c:pt>
                      <c:pt idx="5">
                        <c:v>413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AA4-44F7-94D3-5086A11D6020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sales'!$I$41</c15:sqref>
                        </c15:formulaRef>
                      </c:ext>
                    </c:extLst>
                    <c:strCache>
                      <c:ptCount val="1"/>
                      <c:pt idx="0">
                        <c:v>Stapler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sales'!$J$41:$O$41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30</c:v>
                      </c:pt>
                      <c:pt idx="1">
                        <c:v>49</c:v>
                      </c:pt>
                      <c:pt idx="2">
                        <c:v>78</c:v>
                      </c:pt>
                      <c:pt idx="3">
                        <c:v>113</c:v>
                      </c:pt>
                      <c:pt idx="4">
                        <c:v>149</c:v>
                      </c:pt>
                      <c:pt idx="5">
                        <c:v>208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AA4-44F7-94D3-5086A11D6020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sales'!$I$42</c15:sqref>
                        </c15:formulaRef>
                      </c:ext>
                    </c:extLst>
                    <c:strCache>
                      <c:ptCount val="1"/>
                      <c:pt idx="0">
                        <c:v>Unruled Notebook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sales'!$J$42:$O$42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26</c:v>
                      </c:pt>
                      <c:pt idx="1">
                        <c:v>39</c:v>
                      </c:pt>
                      <c:pt idx="2">
                        <c:v>62</c:v>
                      </c:pt>
                      <c:pt idx="3">
                        <c:v>127</c:v>
                      </c:pt>
                      <c:pt idx="4">
                        <c:v>163</c:v>
                      </c:pt>
                      <c:pt idx="5">
                        <c:v>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AA4-44F7-94D3-5086A11D6020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sales'!$I$43</c15:sqref>
                        </c15:formulaRef>
                      </c:ext>
                    </c:extLst>
                    <c:strCache>
                      <c:ptCount val="1"/>
                      <c:pt idx="0">
                        <c:v>Water Colors and Oil paints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sales'!$J$25:$O$25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'Cummulative sales'!$J$43:$O$43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52</c:v>
                      </c:pt>
                      <c:pt idx="1">
                        <c:v>79</c:v>
                      </c:pt>
                      <c:pt idx="2">
                        <c:v>131</c:v>
                      </c:pt>
                      <c:pt idx="3">
                        <c:v>221</c:v>
                      </c:pt>
                      <c:pt idx="4">
                        <c:v>289</c:v>
                      </c:pt>
                      <c:pt idx="5">
                        <c:v>421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AA4-44F7-94D3-5086A11D6020}"/>
                  </c:ext>
                </c:extLst>
              </c15:ser>
            </c15:filteredLineSeries>
          </c:ext>
        </c:extLst>
      </c:lineChart>
      <c:catAx>
        <c:axId val="1119074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Months</a:t>
                </a:r>
              </a:p>
            </c:rich>
          </c:tx>
          <c:layout>
            <c:manualLayout>
              <c:xMode val="edge"/>
              <c:yMode val="edge"/>
              <c:x val="0.48768860270676029"/>
              <c:y val="0.863628511953247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73024"/>
        <c:crosses val="autoZero"/>
        <c:auto val="1"/>
        <c:lblAlgn val="ctr"/>
        <c:lblOffset val="100"/>
        <c:noMultiLvlLbl val="0"/>
      </c:catAx>
      <c:valAx>
        <c:axId val="111907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Cumulative</a:t>
                </a:r>
                <a:r>
                  <a:rPr lang="en-IN" sz="1200" b="1" baseline="0"/>
                  <a:t> Units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6.5515579122660929E-3"/>
              <c:y val="0.31776941675394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7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Profit Margin (%)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935923804104609"/>
          <c:y val="0.14292870905587668"/>
          <c:w val="0.73258577582161966"/>
          <c:h val="0.676538467373659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'Average Profit Margin'!$J$23</c:f>
              <c:strCache>
                <c:ptCount val="1"/>
                <c:pt idx="0">
                  <c:v>Average Profit Margin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Profit Margin'!$I$24:$I$33</c:f>
              <c:strCache>
                <c:ptCount val="10"/>
                <c:pt idx="0">
                  <c:v>A4 Sheets</c:v>
                </c:pt>
                <c:pt idx="1">
                  <c:v>Stapler</c:v>
                </c:pt>
                <c:pt idx="2">
                  <c:v>Chart Paper</c:v>
                </c:pt>
                <c:pt idx="3">
                  <c:v>Ruled Notebook</c:v>
                </c:pt>
                <c:pt idx="4">
                  <c:v>Adhesive Tape</c:v>
                </c:pt>
                <c:pt idx="5">
                  <c:v>Color Pencils</c:v>
                </c:pt>
                <c:pt idx="6">
                  <c:v>Water Colors and Oil Paints</c:v>
                </c:pt>
                <c:pt idx="7">
                  <c:v>Pens</c:v>
                </c:pt>
                <c:pt idx="8">
                  <c:v>Spiral Notebook</c:v>
                </c:pt>
                <c:pt idx="9">
                  <c:v>Geometry Box</c:v>
                </c:pt>
              </c:strCache>
            </c:strRef>
          </c:cat>
          <c:val>
            <c:numRef>
              <c:f>'Average Profit Margin'!$J$24:$J$33</c:f>
              <c:numCache>
                <c:formatCode>General</c:formatCode>
                <c:ptCount val="10"/>
                <c:pt idx="0">
                  <c:v>49.6</c:v>
                </c:pt>
                <c:pt idx="1">
                  <c:v>47.1</c:v>
                </c:pt>
                <c:pt idx="2">
                  <c:v>45.3</c:v>
                </c:pt>
                <c:pt idx="3">
                  <c:v>33.5</c:v>
                </c:pt>
                <c:pt idx="4">
                  <c:v>28.9</c:v>
                </c:pt>
                <c:pt idx="5">
                  <c:v>22.6</c:v>
                </c:pt>
                <c:pt idx="6">
                  <c:v>22.6</c:v>
                </c:pt>
                <c:pt idx="7">
                  <c:v>22.2</c:v>
                </c:pt>
                <c:pt idx="8">
                  <c:v>16.7</c:v>
                </c:pt>
                <c:pt idx="9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C-4387-BFDC-29997C48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9336016"/>
        <c:axId val="649336496"/>
      </c:barChart>
      <c:catAx>
        <c:axId val="6493360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Product Type</a:t>
                </a:r>
              </a:p>
            </c:rich>
          </c:tx>
          <c:layout>
            <c:manualLayout>
              <c:xMode val="edge"/>
              <c:yMode val="edge"/>
              <c:x val="9.0150983731793581E-3"/>
              <c:y val="0.37048503330147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336496"/>
        <c:crosses val="autoZero"/>
        <c:auto val="1"/>
        <c:lblAlgn val="ctr"/>
        <c:lblOffset val="100"/>
        <c:noMultiLvlLbl val="0"/>
      </c:catAx>
      <c:valAx>
        <c:axId val="64933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Avg. Profit Margin (%)</a:t>
                </a:r>
              </a:p>
            </c:rich>
          </c:tx>
          <c:layout>
            <c:manualLayout>
              <c:xMode val="edge"/>
              <c:yMode val="edge"/>
              <c:x val="0.43643425743060604"/>
              <c:y val="0.90115606936416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33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Trends</a:t>
            </a:r>
            <a:endParaRPr lang="en-US"/>
          </a:p>
        </c:rich>
      </c:tx>
      <c:layout>
        <c:manualLayout>
          <c:xMode val="edge"/>
          <c:yMode val="edge"/>
          <c:x val="0.3985238814798319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 Sales'!$B$1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6A-48A8-BC4C-659684407265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92D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C6A-48A8-BC4C-6596844072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Sales'!$A$2:$A$7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'Inventory Sales'!$B$2:$B$7</c:f>
              <c:numCache>
                <c:formatCode>General</c:formatCode>
                <c:ptCount val="6"/>
                <c:pt idx="0">
                  <c:v>998</c:v>
                </c:pt>
                <c:pt idx="1">
                  <c:v>708</c:v>
                </c:pt>
                <c:pt idx="2">
                  <c:v>972</c:v>
                </c:pt>
                <c:pt idx="3">
                  <c:v>1651</c:v>
                </c:pt>
                <c:pt idx="4">
                  <c:v>1298</c:v>
                </c:pt>
                <c:pt idx="5">
                  <c:v>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D-4FC5-9E17-EFB824F20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393903"/>
        <c:axId val="781391503"/>
      </c:lineChart>
      <c:catAx>
        <c:axId val="78139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</a:t>
                </a:r>
                <a:r>
                  <a:rPr lang="en-IN" sz="1200" b="1" baseline="0"/>
                  <a:t> Name</a:t>
                </a:r>
                <a:endParaRPr lang="en-IN" sz="1200" b="1"/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4058236497173831"/>
              <c:y val="0.86912818330141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91503"/>
        <c:crosses val="autoZero"/>
        <c:auto val="1"/>
        <c:lblAlgn val="ctr"/>
        <c:lblOffset val="100"/>
        <c:noMultiLvlLbl val="0"/>
      </c:catAx>
      <c:valAx>
        <c:axId val="7813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 Sold</a:t>
                </a:r>
              </a:p>
              <a:p>
                <a:pPr>
                  <a:defRPr/>
                </a:pPr>
                <a:endParaRPr lang="en-IN"/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5890538943071669E-2"/>
              <c:y val="0.432960851724520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9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Stock-to-Sales Ratio by Product Categories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out'!$P$1</c:f>
              <c:strCache>
                <c:ptCount val="1"/>
                <c:pt idx="0">
                  <c:v>Stock-to-Sales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3F-42BF-B745-32BD203E53B2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3F-42BF-B745-32BD203E53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'Stock out'!$O$2:$O$19</c:f>
              <c:strCache>
                <c:ptCount val="18"/>
                <c:pt idx="0">
                  <c:v>A4 Sheets</c:v>
                </c:pt>
                <c:pt idx="1">
                  <c:v>Adhesive</c:v>
                </c:pt>
                <c:pt idx="2">
                  <c:v>Adhesive Tape</c:v>
                </c:pt>
                <c:pt idx="3">
                  <c:v>Chart Paper</c:v>
                </c:pt>
                <c:pt idx="4">
                  <c:v>Color Pencils</c:v>
                </c:pt>
                <c:pt idx="5">
                  <c:v>Drawing Book</c:v>
                </c:pt>
                <c:pt idx="6">
                  <c:v>Geometry Box</c:v>
                </c:pt>
                <c:pt idx="7">
                  <c:v>Markers</c:v>
                </c:pt>
                <c:pt idx="8">
                  <c:v>Notebook Cover</c:v>
                </c:pt>
                <c:pt idx="9">
                  <c:v>Pencils</c:v>
                </c:pt>
                <c:pt idx="10">
                  <c:v>Pens</c:v>
                </c:pt>
                <c:pt idx="11">
                  <c:v>Project File</c:v>
                </c:pt>
                <c:pt idx="12">
                  <c:v>Register</c:v>
                </c:pt>
                <c:pt idx="13">
                  <c:v>Ruled Notebook</c:v>
                </c:pt>
                <c:pt idx="14">
                  <c:v>Spiral Notebook</c:v>
                </c:pt>
                <c:pt idx="15">
                  <c:v>Stapler</c:v>
                </c:pt>
                <c:pt idx="16">
                  <c:v>Unruled Notebook</c:v>
                </c:pt>
                <c:pt idx="17">
                  <c:v>Water Colors and Oil Paints</c:v>
                </c:pt>
              </c:strCache>
            </c:strRef>
          </c:cat>
          <c:val>
            <c:numRef>
              <c:f>'Stock out'!$P$2:$P$19</c:f>
              <c:numCache>
                <c:formatCode>General</c:formatCode>
                <c:ptCount val="18"/>
                <c:pt idx="0">
                  <c:v>2.62</c:v>
                </c:pt>
                <c:pt idx="1">
                  <c:v>2.2799999999999998</c:v>
                </c:pt>
                <c:pt idx="2">
                  <c:v>3.41</c:v>
                </c:pt>
                <c:pt idx="3">
                  <c:v>2.2400000000000002</c:v>
                </c:pt>
                <c:pt idx="4">
                  <c:v>1.92</c:v>
                </c:pt>
                <c:pt idx="5">
                  <c:v>4.3899999999999997</c:v>
                </c:pt>
                <c:pt idx="6">
                  <c:v>2.88</c:v>
                </c:pt>
                <c:pt idx="7">
                  <c:v>2.85</c:v>
                </c:pt>
                <c:pt idx="8">
                  <c:v>3.99</c:v>
                </c:pt>
                <c:pt idx="9">
                  <c:v>1.76</c:v>
                </c:pt>
                <c:pt idx="10">
                  <c:v>1.78</c:v>
                </c:pt>
                <c:pt idx="11">
                  <c:v>1.77</c:v>
                </c:pt>
                <c:pt idx="12">
                  <c:v>2.66</c:v>
                </c:pt>
                <c:pt idx="13">
                  <c:v>2.29</c:v>
                </c:pt>
                <c:pt idx="14">
                  <c:v>2.5499999999999998</c:v>
                </c:pt>
                <c:pt idx="15">
                  <c:v>2.2999999999999998</c:v>
                </c:pt>
                <c:pt idx="16">
                  <c:v>2.81</c:v>
                </c:pt>
                <c:pt idx="17">
                  <c:v>4.2300000000000004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F-42BF-B745-32BD203E5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612047"/>
        <c:axId val="814607727"/>
      </c:barChart>
      <c:catAx>
        <c:axId val="814612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/>
                  <a:t>Product</a:t>
                </a:r>
                <a:r>
                  <a:rPr lang="en-IN" sz="1050" b="1" baseline="0"/>
                  <a:t> Category</a:t>
                </a:r>
                <a:endParaRPr lang="en-IN" sz="1050" b="1"/>
              </a:p>
            </c:rich>
          </c:tx>
          <c:layout>
            <c:manualLayout>
              <c:xMode val="edge"/>
              <c:yMode val="edge"/>
              <c:x val="0.45673806041420395"/>
              <c:y val="0.8424166666666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07727"/>
        <c:crosses val="autoZero"/>
        <c:auto val="1"/>
        <c:lblAlgn val="ctr"/>
        <c:lblOffset val="100"/>
        <c:noMultiLvlLbl val="0"/>
      </c:catAx>
      <c:valAx>
        <c:axId val="814607727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  <a:p>
                <a:pPr>
                  <a:defRPr/>
                </a:pPr>
                <a:r>
                  <a:rPr lang="en-IN" sz="1050" b="1"/>
                  <a:t>Stock</a:t>
                </a:r>
                <a:r>
                  <a:rPr lang="en-IN" sz="1050" b="1" baseline="0"/>
                  <a:t>-to-Sales Ratio</a:t>
                </a:r>
                <a:endParaRPr lang="en-IN" sz="1050" b="1"/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1.8659881255301103E-2"/>
              <c:y val="0.20075000000000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1204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ABC Analysis of Product Category Sales by Revenue (₹)</a:t>
            </a:r>
            <a:r>
              <a:rPr lang="en-IN" baseline="0"/>
              <a:t>  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analysis'!$B$1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12-4CA4-85D5-B7A9BE65D22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12-4CA4-85D5-B7A9BE65D22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12-4CA4-85D5-B7A9BE65D22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12-4CA4-85D5-B7A9BE65D22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12-4CA4-85D5-B7A9BE65D22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12-4CA4-85D5-B7A9BE65D22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12-4CA4-85D5-B7A9BE65D22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12-4CA4-85D5-B7A9BE65D22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12-4CA4-85D5-B7A9BE65D22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12-4CA4-85D5-B7A9BE65D22E}"/>
              </c:ext>
            </c:extLst>
          </c:dPt>
          <c:cat>
            <c:strRef>
              <c:f>'ABC analysis'!$A$2:$A$19</c:f>
              <c:strCache>
                <c:ptCount val="18"/>
                <c:pt idx="0">
                  <c:v>Pens</c:v>
                </c:pt>
                <c:pt idx="1">
                  <c:v>Spiral Notebook</c:v>
                </c:pt>
                <c:pt idx="2">
                  <c:v>Water Colors and Oil paints</c:v>
                </c:pt>
                <c:pt idx="3">
                  <c:v>Color Pencils</c:v>
                </c:pt>
                <c:pt idx="4">
                  <c:v>Register</c:v>
                </c:pt>
                <c:pt idx="5">
                  <c:v>Pencils</c:v>
                </c:pt>
                <c:pt idx="6">
                  <c:v>Geometry Box</c:v>
                </c:pt>
                <c:pt idx="7">
                  <c:v>Ruled Notebook</c:v>
                </c:pt>
                <c:pt idx="8">
                  <c:v>Adhesive Tape</c:v>
                </c:pt>
                <c:pt idx="9">
                  <c:v>Drawing Book</c:v>
                </c:pt>
                <c:pt idx="10">
                  <c:v>Adhesive</c:v>
                </c:pt>
                <c:pt idx="11">
                  <c:v>Unruled Notebook</c:v>
                </c:pt>
                <c:pt idx="12">
                  <c:v>Notebook Cover</c:v>
                </c:pt>
                <c:pt idx="13">
                  <c:v>Markers</c:v>
                </c:pt>
                <c:pt idx="14">
                  <c:v>Stapler</c:v>
                </c:pt>
                <c:pt idx="15">
                  <c:v>Project File</c:v>
                </c:pt>
                <c:pt idx="16">
                  <c:v>A4 Sheets</c:v>
                </c:pt>
                <c:pt idx="17">
                  <c:v>Chart Paper</c:v>
                </c:pt>
              </c:strCache>
            </c:strRef>
          </c:cat>
          <c:val>
            <c:numRef>
              <c:f>'ABC analysis'!$B$2:$B$19</c:f>
              <c:numCache>
                <c:formatCode>"₹"#,##0.00_);[Red]\("₹"#,##0.00\)</c:formatCode>
                <c:ptCount val="18"/>
                <c:pt idx="0">
                  <c:v>105270</c:v>
                </c:pt>
                <c:pt idx="1">
                  <c:v>76640</c:v>
                </c:pt>
                <c:pt idx="2">
                  <c:v>63675</c:v>
                </c:pt>
                <c:pt idx="3">
                  <c:v>58605</c:v>
                </c:pt>
                <c:pt idx="4">
                  <c:v>44026</c:v>
                </c:pt>
                <c:pt idx="5">
                  <c:v>43680</c:v>
                </c:pt>
                <c:pt idx="6">
                  <c:v>33515</c:v>
                </c:pt>
                <c:pt idx="7">
                  <c:v>32690</c:v>
                </c:pt>
                <c:pt idx="8">
                  <c:v>31175</c:v>
                </c:pt>
                <c:pt idx="9">
                  <c:v>27620</c:v>
                </c:pt>
                <c:pt idx="10">
                  <c:v>25375</c:v>
                </c:pt>
                <c:pt idx="11">
                  <c:v>11200</c:v>
                </c:pt>
                <c:pt idx="12">
                  <c:v>9280</c:v>
                </c:pt>
                <c:pt idx="13">
                  <c:v>7845</c:v>
                </c:pt>
                <c:pt idx="14">
                  <c:v>6920</c:v>
                </c:pt>
                <c:pt idx="15">
                  <c:v>5770</c:v>
                </c:pt>
                <c:pt idx="16">
                  <c:v>3997</c:v>
                </c:pt>
                <c:pt idx="17">
                  <c:v>2936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2-4CA4-85D5-B7A9BE65D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604847"/>
        <c:axId val="814605327"/>
      </c:barChart>
      <c:lineChart>
        <c:grouping val="standard"/>
        <c:varyColors val="0"/>
        <c:ser>
          <c:idx val="1"/>
          <c:order val="1"/>
          <c:tx>
            <c:strRef>
              <c:f>'ABC analysis'!$C$1</c:f>
              <c:strCache>
                <c:ptCount val="1"/>
                <c:pt idx="0">
                  <c:v>Cumulative 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'ABC analysis'!$A$2:$A$19</c:f>
              <c:strCache>
                <c:ptCount val="18"/>
                <c:pt idx="0">
                  <c:v>Pens</c:v>
                </c:pt>
                <c:pt idx="1">
                  <c:v>Spiral Notebook</c:v>
                </c:pt>
                <c:pt idx="2">
                  <c:v>Water Colors and Oil paints</c:v>
                </c:pt>
                <c:pt idx="3">
                  <c:v>Color Pencils</c:v>
                </c:pt>
                <c:pt idx="4">
                  <c:v>Register</c:v>
                </c:pt>
                <c:pt idx="5">
                  <c:v>Pencils</c:v>
                </c:pt>
                <c:pt idx="6">
                  <c:v>Geometry Box</c:v>
                </c:pt>
                <c:pt idx="7">
                  <c:v>Ruled Notebook</c:v>
                </c:pt>
                <c:pt idx="8">
                  <c:v>Adhesive Tape</c:v>
                </c:pt>
                <c:pt idx="9">
                  <c:v>Drawing Book</c:v>
                </c:pt>
                <c:pt idx="10">
                  <c:v>Adhesive</c:v>
                </c:pt>
                <c:pt idx="11">
                  <c:v>Unruled Notebook</c:v>
                </c:pt>
                <c:pt idx="12">
                  <c:v>Notebook Cover</c:v>
                </c:pt>
                <c:pt idx="13">
                  <c:v>Markers</c:v>
                </c:pt>
                <c:pt idx="14">
                  <c:v>Stapler</c:v>
                </c:pt>
                <c:pt idx="15">
                  <c:v>Project File</c:v>
                </c:pt>
                <c:pt idx="16">
                  <c:v>A4 Sheets</c:v>
                </c:pt>
                <c:pt idx="17">
                  <c:v>Chart Paper</c:v>
                </c:pt>
              </c:strCache>
            </c:strRef>
          </c:cat>
          <c:val>
            <c:numRef>
              <c:f>'ABC analysis'!$C$2:$C$19</c:f>
              <c:numCache>
                <c:formatCode>0.00%</c:formatCode>
                <c:ptCount val="18"/>
                <c:pt idx="0">
                  <c:v>0.1784</c:v>
                </c:pt>
                <c:pt idx="1">
                  <c:v>0.30819999999999997</c:v>
                </c:pt>
                <c:pt idx="2">
                  <c:v>0.41610000000000003</c:v>
                </c:pt>
                <c:pt idx="3">
                  <c:v>0.51539999999999997</c:v>
                </c:pt>
                <c:pt idx="4">
                  <c:v>0.59</c:v>
                </c:pt>
                <c:pt idx="5">
                  <c:v>0.66400000000000003</c:v>
                </c:pt>
                <c:pt idx="6">
                  <c:v>0.7208</c:v>
                </c:pt>
                <c:pt idx="7">
                  <c:v>0.7762</c:v>
                </c:pt>
                <c:pt idx="8">
                  <c:v>0.82899999999999996</c:v>
                </c:pt>
                <c:pt idx="9">
                  <c:v>0.87580000000000002</c:v>
                </c:pt>
                <c:pt idx="10">
                  <c:v>0.91879999999999995</c:v>
                </c:pt>
                <c:pt idx="11">
                  <c:v>0.93769999999999998</c:v>
                </c:pt>
                <c:pt idx="12">
                  <c:v>0.95350000000000001</c:v>
                </c:pt>
                <c:pt idx="13">
                  <c:v>0.96679999999999999</c:v>
                </c:pt>
                <c:pt idx="14">
                  <c:v>0.97850000000000004</c:v>
                </c:pt>
                <c:pt idx="15">
                  <c:v>0.98829999999999996</c:v>
                </c:pt>
                <c:pt idx="16">
                  <c:v>0.995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2-4CA4-85D5-B7A9BE65D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616847"/>
        <c:axId val="814610607"/>
      </c:lineChart>
      <c:catAx>
        <c:axId val="81460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</a:t>
                </a:r>
                <a:r>
                  <a:rPr lang="en-IN" b="1" baseline="0"/>
                  <a:t> Categories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2935643887188485"/>
              <c:y val="0.84950063799954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05327"/>
        <c:crosses val="autoZero"/>
        <c:auto val="1"/>
        <c:lblAlgn val="ctr"/>
        <c:lblOffset val="100"/>
        <c:noMultiLvlLbl val="0"/>
      </c:catAx>
      <c:valAx>
        <c:axId val="81460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Revenue</a:t>
                </a:r>
              </a:p>
              <a:p>
                <a:pPr>
                  <a:defRPr/>
                </a:pP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04847"/>
        <c:crosses val="autoZero"/>
        <c:crossBetween val="between"/>
      </c:valAx>
      <c:valAx>
        <c:axId val="814610607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  </a:t>
                </a:r>
              </a:p>
              <a:p>
                <a:pPr>
                  <a:defRPr/>
                </a:pPr>
                <a:r>
                  <a:rPr lang="en-IN"/>
                  <a:t>                            </a:t>
                </a:r>
                <a:r>
                  <a:rPr lang="en-IN" b="1"/>
                  <a:t>Cummulative</a:t>
                </a:r>
                <a:r>
                  <a:rPr lang="en-IN" b="1" baseline="0"/>
                  <a:t> Percentage</a:t>
                </a:r>
              </a:p>
              <a:p>
                <a:pPr>
                  <a:defRPr/>
                </a:pPr>
                <a:endParaRPr lang="en-IN" baseline="0"/>
              </a:p>
            </c:rich>
          </c:tx>
          <c:layout>
            <c:manualLayout>
              <c:xMode val="edge"/>
              <c:yMode val="edge"/>
              <c:x val="0.90906933033706716"/>
              <c:y val="0.18519665183661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16847"/>
        <c:crosses val="max"/>
        <c:crossBetween val="between"/>
        <c:majorUnit val="0.2"/>
      </c:valAx>
      <c:catAx>
        <c:axId val="814616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4610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most selling items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'Highest selling'!$B$1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'Highest selling'!$A$2:$A$11</c:f>
              <c:strCache>
                <c:ptCount val="10"/>
                <c:pt idx="0">
                  <c:v>Cello Finegrip (10 pens)</c:v>
                </c:pt>
                <c:pt idx="1">
                  <c:v>Nataraj 621 Writing Pencils</c:v>
                </c:pt>
                <c:pt idx="2">
                  <c:v>Apsara Matt Magic 2.0</c:v>
                </c:pt>
                <c:pt idx="3">
                  <c:v>Classmate Pulse Spiral Notebook</c:v>
                </c:pt>
                <c:pt idx="4">
                  <c:v>Pentonic 0.7mm Pens</c:v>
                </c:pt>
                <c:pt idx="5">
                  <c:v>Camlin White Board Marker</c:v>
                </c:pt>
                <c:pt idx="6">
                  <c:v>Dom's Extra Dark Pencils</c:v>
                </c:pt>
                <c:pt idx="7">
                  <c:v>Navneet Long Book 76 Pages</c:v>
                </c:pt>
                <c:pt idx="8">
                  <c:v>Classmate Soft Cover Notebook</c:v>
                </c:pt>
                <c:pt idx="9">
                  <c:v>Camlin Geometry Box</c:v>
                </c:pt>
              </c:strCache>
            </c:strRef>
          </c:cat>
          <c:val>
            <c:numRef>
              <c:f>'Highest selling'!$B$2:$B$11</c:f>
              <c:numCache>
                <c:formatCode>General</c:formatCode>
                <c:ptCount val="10"/>
                <c:pt idx="0">
                  <c:v>217</c:v>
                </c:pt>
                <c:pt idx="1">
                  <c:v>208</c:v>
                </c:pt>
                <c:pt idx="2">
                  <c:v>195</c:v>
                </c:pt>
                <c:pt idx="3">
                  <c:v>191</c:v>
                </c:pt>
                <c:pt idx="4">
                  <c:v>186</c:v>
                </c:pt>
                <c:pt idx="5">
                  <c:v>178</c:v>
                </c:pt>
                <c:pt idx="6">
                  <c:v>170</c:v>
                </c:pt>
                <c:pt idx="7">
                  <c:v>165</c:v>
                </c:pt>
                <c:pt idx="8">
                  <c:v>160</c:v>
                </c:pt>
                <c:pt idx="9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0-4246-8109-CADAAA9B0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05871"/>
        <c:axId val="176212591"/>
      </c:barChart>
      <c:catAx>
        <c:axId val="17620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2591"/>
        <c:crosses val="autoZero"/>
        <c:auto val="1"/>
        <c:lblAlgn val="ctr"/>
        <c:lblOffset val="100"/>
        <c:noMultiLvlLbl val="0"/>
      </c:catAx>
      <c:valAx>
        <c:axId val="17621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Inventory Turnover Ratio by Product Type</a:t>
            </a:r>
          </a:p>
          <a:p>
            <a:pPr>
              <a:defRPr/>
            </a:pPr>
            <a:endParaRPr lang="en-IN" b="1"/>
          </a:p>
        </c:rich>
      </c:tx>
      <c:layout>
        <c:manualLayout>
          <c:xMode val="edge"/>
          <c:yMode val="edge"/>
          <c:x val="0.3304660531636387"/>
          <c:y val="2.197802197802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'Turnover Ratio'!$B$2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5C-4781-BDAE-C23354A68A9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5C-4781-BDAE-C23354A68A9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35C-4781-BDAE-C23354A68A9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D3-4B8D-8BAC-70BD939F2683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35C-4781-BDAE-C23354A68A90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5C-4781-BDAE-C23354A68A90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5C-4781-BDAE-C23354A68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Ratio'!$A$3:$A$9</c:f>
              <c:strCache>
                <c:ptCount val="7"/>
                <c:pt idx="0">
                  <c:v>A4 Sheets</c:v>
                </c:pt>
                <c:pt idx="1">
                  <c:v>Adhesive</c:v>
                </c:pt>
                <c:pt idx="2">
                  <c:v>Adhhesive Tape</c:v>
                </c:pt>
                <c:pt idx="3">
                  <c:v>Chart Paper</c:v>
                </c:pt>
                <c:pt idx="4">
                  <c:v>Color Pencils</c:v>
                </c:pt>
                <c:pt idx="5">
                  <c:v>Pens</c:v>
                </c:pt>
                <c:pt idx="6">
                  <c:v>Water Colors/Oil Paints</c:v>
                </c:pt>
              </c:strCache>
            </c:strRef>
          </c:cat>
          <c:val>
            <c:numRef>
              <c:f>'Turnover Ratio'!$B$3:$B$9</c:f>
              <c:numCache>
                <c:formatCode>General</c:formatCode>
                <c:ptCount val="7"/>
                <c:pt idx="0">
                  <c:v>0.45</c:v>
                </c:pt>
                <c:pt idx="1">
                  <c:v>0.47</c:v>
                </c:pt>
                <c:pt idx="2">
                  <c:v>0.41</c:v>
                </c:pt>
                <c:pt idx="3">
                  <c:v>0.4</c:v>
                </c:pt>
                <c:pt idx="4">
                  <c:v>0.54</c:v>
                </c:pt>
                <c:pt idx="5">
                  <c:v>0.62</c:v>
                </c:pt>
                <c:pt idx="6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3-4B8D-8BAC-70BD939F2683}"/>
            </c:ext>
          </c:extLst>
        </c:ser>
        <c:ser>
          <c:idx val="1"/>
          <c:order val="1"/>
          <c:tx>
            <c:strRef>
              <c:f>'Turnover Ratio'!$C$2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'Turnover Ratio'!$A$3:$A$9</c:f>
              <c:strCache>
                <c:ptCount val="7"/>
                <c:pt idx="0">
                  <c:v>A4 Sheets</c:v>
                </c:pt>
                <c:pt idx="1">
                  <c:v>Adhesive</c:v>
                </c:pt>
                <c:pt idx="2">
                  <c:v>Adhhesive Tape</c:v>
                </c:pt>
                <c:pt idx="3">
                  <c:v>Chart Paper</c:v>
                </c:pt>
                <c:pt idx="4">
                  <c:v>Color Pencils</c:v>
                </c:pt>
                <c:pt idx="5">
                  <c:v>Pens</c:v>
                </c:pt>
                <c:pt idx="6">
                  <c:v>Water Colors/Oil Paints</c:v>
                </c:pt>
              </c:strCache>
            </c:strRef>
          </c:cat>
          <c:val>
            <c:numRef>
              <c:f>'Turnover Ratio'!$C$3:$C$9</c:f>
              <c:numCache>
                <c:formatCode>General</c:formatCode>
                <c:ptCount val="7"/>
                <c:pt idx="0">
                  <c:v>0.28000000000000003</c:v>
                </c:pt>
                <c:pt idx="1">
                  <c:v>0.38</c:v>
                </c:pt>
                <c:pt idx="2">
                  <c:v>0.25</c:v>
                </c:pt>
                <c:pt idx="3">
                  <c:v>0.32</c:v>
                </c:pt>
                <c:pt idx="4">
                  <c:v>0.42</c:v>
                </c:pt>
                <c:pt idx="5">
                  <c:v>0.57999999999999996</c:v>
                </c:pt>
                <c:pt idx="6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3-4B8D-8BAC-70BD939F2683}"/>
            </c:ext>
          </c:extLst>
        </c:ser>
        <c:ser>
          <c:idx val="2"/>
          <c:order val="2"/>
          <c:tx>
            <c:strRef>
              <c:f>'Turnover Ratio'!$D$2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5C-4781-BDAE-C23354A68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Ratio'!$A$3:$A$9</c:f>
              <c:strCache>
                <c:ptCount val="7"/>
                <c:pt idx="0">
                  <c:v>A4 Sheets</c:v>
                </c:pt>
                <c:pt idx="1">
                  <c:v>Adhesive</c:v>
                </c:pt>
                <c:pt idx="2">
                  <c:v>Adhhesive Tape</c:v>
                </c:pt>
                <c:pt idx="3">
                  <c:v>Chart Paper</c:v>
                </c:pt>
                <c:pt idx="4">
                  <c:v>Color Pencils</c:v>
                </c:pt>
                <c:pt idx="5">
                  <c:v>Pens</c:v>
                </c:pt>
                <c:pt idx="6">
                  <c:v>Water Colors/Oil Paints</c:v>
                </c:pt>
              </c:strCache>
            </c:strRef>
          </c:cat>
          <c:val>
            <c:numRef>
              <c:f>'Turnover Ratio'!$D$3:$D$9</c:f>
              <c:numCache>
                <c:formatCode>General</c:formatCode>
                <c:ptCount val="7"/>
                <c:pt idx="0">
                  <c:v>0.33</c:v>
                </c:pt>
                <c:pt idx="1">
                  <c:v>0.45</c:v>
                </c:pt>
                <c:pt idx="2">
                  <c:v>0.27</c:v>
                </c:pt>
                <c:pt idx="3">
                  <c:v>0.38</c:v>
                </c:pt>
                <c:pt idx="4">
                  <c:v>0.66</c:v>
                </c:pt>
                <c:pt idx="5">
                  <c:v>0.71</c:v>
                </c:pt>
                <c:pt idx="6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D3-4B8D-8BAC-70BD939F2683}"/>
            </c:ext>
          </c:extLst>
        </c:ser>
        <c:ser>
          <c:idx val="3"/>
          <c:order val="3"/>
          <c:tx>
            <c:strRef>
              <c:f>'Turnover Ratio'!$E$2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1.057501578966432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5C-4781-BDAE-C23354A68A90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35C-4781-BDAE-C23354A68A90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5C-4781-BDAE-C23354A68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Ratio'!$A$3:$A$9</c:f>
              <c:strCache>
                <c:ptCount val="7"/>
                <c:pt idx="0">
                  <c:v>A4 Sheets</c:v>
                </c:pt>
                <c:pt idx="1">
                  <c:v>Adhesive</c:v>
                </c:pt>
                <c:pt idx="2">
                  <c:v>Adhhesive Tape</c:v>
                </c:pt>
                <c:pt idx="3">
                  <c:v>Chart Paper</c:v>
                </c:pt>
                <c:pt idx="4">
                  <c:v>Color Pencils</c:v>
                </c:pt>
                <c:pt idx="5">
                  <c:v>Pens</c:v>
                </c:pt>
                <c:pt idx="6">
                  <c:v>Water Colors/Oil Paints</c:v>
                </c:pt>
              </c:strCache>
            </c:strRef>
          </c:cat>
          <c:val>
            <c:numRef>
              <c:f>'Turnover Ratio'!$E$3:$E$9</c:f>
              <c:numCache>
                <c:formatCode>General</c:formatCode>
                <c:ptCount val="7"/>
                <c:pt idx="0">
                  <c:v>0.41</c:v>
                </c:pt>
                <c:pt idx="1">
                  <c:v>0.56999999999999995</c:v>
                </c:pt>
                <c:pt idx="2">
                  <c:v>0.41</c:v>
                </c:pt>
                <c:pt idx="3">
                  <c:v>0.49</c:v>
                </c:pt>
                <c:pt idx="4">
                  <c:v>0.92</c:v>
                </c:pt>
                <c:pt idx="5">
                  <c:v>0.85</c:v>
                </c:pt>
                <c:pt idx="6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D3-4B8D-8BAC-70BD939F2683}"/>
            </c:ext>
          </c:extLst>
        </c:ser>
        <c:ser>
          <c:idx val="4"/>
          <c:order val="4"/>
          <c:tx>
            <c:strRef>
              <c:f>'Turnover Ratio'!$F$2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7.0500105264429472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5C-4781-BDAE-C23354A68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Ratio'!$A$3:$A$9</c:f>
              <c:strCache>
                <c:ptCount val="7"/>
                <c:pt idx="0">
                  <c:v>A4 Sheets</c:v>
                </c:pt>
                <c:pt idx="1">
                  <c:v>Adhesive</c:v>
                </c:pt>
                <c:pt idx="2">
                  <c:v>Adhhesive Tape</c:v>
                </c:pt>
                <c:pt idx="3">
                  <c:v>Chart Paper</c:v>
                </c:pt>
                <c:pt idx="4">
                  <c:v>Color Pencils</c:v>
                </c:pt>
                <c:pt idx="5">
                  <c:v>Pens</c:v>
                </c:pt>
                <c:pt idx="6">
                  <c:v>Water Colors/Oil Paints</c:v>
                </c:pt>
              </c:strCache>
            </c:strRef>
          </c:cat>
          <c:val>
            <c:numRef>
              <c:f>'Turnover Ratio'!$F$3:$F$9</c:f>
              <c:numCache>
                <c:formatCode>General</c:formatCode>
                <c:ptCount val="7"/>
                <c:pt idx="0">
                  <c:v>0.53</c:v>
                </c:pt>
                <c:pt idx="1">
                  <c:v>0.46</c:v>
                </c:pt>
                <c:pt idx="2">
                  <c:v>0.37</c:v>
                </c:pt>
                <c:pt idx="3">
                  <c:v>0.68</c:v>
                </c:pt>
                <c:pt idx="4">
                  <c:v>0.61</c:v>
                </c:pt>
                <c:pt idx="5">
                  <c:v>0.79</c:v>
                </c:pt>
                <c:pt idx="6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D3-4B8D-8BAC-70BD939F2683}"/>
            </c:ext>
          </c:extLst>
        </c:ser>
        <c:ser>
          <c:idx val="5"/>
          <c:order val="5"/>
          <c:tx>
            <c:strRef>
              <c:f>'Turnover Ratio'!$G$2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5C-4781-BDAE-C23354A68A9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5C-4781-BDAE-C23354A68A9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FD3-4B8D-8BAC-70BD939F2683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5C-4781-BDAE-C23354A68A90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5C-4781-BDAE-C23354A68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Ratio'!$A$3:$A$9</c:f>
              <c:strCache>
                <c:ptCount val="7"/>
                <c:pt idx="0">
                  <c:v>A4 Sheets</c:v>
                </c:pt>
                <c:pt idx="1">
                  <c:v>Adhesive</c:v>
                </c:pt>
                <c:pt idx="2">
                  <c:v>Adhhesive Tape</c:v>
                </c:pt>
                <c:pt idx="3">
                  <c:v>Chart Paper</c:v>
                </c:pt>
                <c:pt idx="4">
                  <c:v>Color Pencils</c:v>
                </c:pt>
                <c:pt idx="5">
                  <c:v>Pens</c:v>
                </c:pt>
                <c:pt idx="6">
                  <c:v>Water Colors/Oil Paints</c:v>
                </c:pt>
              </c:strCache>
            </c:strRef>
          </c:cat>
          <c:val>
            <c:numRef>
              <c:f>'Turnover Ratio'!$G$3:$G$9</c:f>
              <c:numCache>
                <c:formatCode>General</c:formatCode>
                <c:ptCount val="7"/>
                <c:pt idx="0">
                  <c:v>0.77</c:v>
                </c:pt>
                <c:pt idx="1">
                  <c:v>0.57999999999999996</c:v>
                </c:pt>
                <c:pt idx="2">
                  <c:v>0.5</c:v>
                </c:pt>
                <c:pt idx="3">
                  <c:v>1.1399999999999999</c:v>
                </c:pt>
                <c:pt idx="4">
                  <c:v>0.67</c:v>
                </c:pt>
                <c:pt idx="5">
                  <c:v>0.92</c:v>
                </c:pt>
                <c:pt idx="6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D3-4B8D-8BAC-70BD939F2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533599"/>
        <c:axId val="601532639"/>
      </c:barChart>
      <c:catAx>
        <c:axId val="601533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32639"/>
        <c:crosses val="autoZero"/>
        <c:auto val="1"/>
        <c:lblAlgn val="ctr"/>
        <c:lblOffset val="100"/>
        <c:noMultiLvlLbl val="0"/>
      </c:catAx>
      <c:valAx>
        <c:axId val="60153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Stock-Ratios</a:t>
                </a:r>
              </a:p>
            </c:rich>
          </c:tx>
          <c:layout>
            <c:manualLayout>
              <c:xMode val="edge"/>
              <c:yMode val="edge"/>
              <c:x val="3.7479500631396783E-3"/>
              <c:y val="0.30375731879668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3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'Units sold vs Selling price'!$C$2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'Units sold vs Selling price'!$B$3:$B$10</c:f>
              <c:numCache>
                <c:formatCode>General</c:formatCode>
                <c:ptCount val="8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120</c:v>
                </c:pt>
                <c:pt idx="7">
                  <c:v>185</c:v>
                </c:pt>
              </c:numCache>
            </c:numRef>
          </c:xVal>
          <c:yVal>
            <c:numRef>
              <c:f>'Units sold vs Selling price'!$C$3:$C$10</c:f>
              <c:numCache>
                <c:formatCode>General</c:formatCode>
                <c:ptCount val="8"/>
                <c:pt idx="0">
                  <c:v>155</c:v>
                </c:pt>
                <c:pt idx="1">
                  <c:v>130</c:v>
                </c:pt>
                <c:pt idx="2">
                  <c:v>131</c:v>
                </c:pt>
                <c:pt idx="3">
                  <c:v>139</c:v>
                </c:pt>
                <c:pt idx="4">
                  <c:v>744</c:v>
                </c:pt>
                <c:pt idx="5">
                  <c:v>1313</c:v>
                </c:pt>
                <c:pt idx="6">
                  <c:v>191</c:v>
                </c:pt>
                <c:pt idx="7">
                  <c:v>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4D-46C8-95AA-97F19362D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549919"/>
        <c:axId val="628554239"/>
      </c:scatterChart>
      <c:valAx>
        <c:axId val="62854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54239"/>
        <c:crosses val="autoZero"/>
        <c:crossBetween val="midCat"/>
        <c:majorUnit val="20"/>
      </c:valAx>
      <c:valAx>
        <c:axId val="6285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4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Price vs. Sales by Product Type</a:t>
            </a:r>
            <a:endParaRPr lang="en-IN" b="1"/>
          </a:p>
        </c:rich>
      </c:tx>
      <c:layout>
        <c:manualLayout>
          <c:xMode val="edge"/>
          <c:yMode val="edge"/>
          <c:x val="0.35295976860884448"/>
          <c:y val="2.7448408306947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'Units sold vs Selling price'!$B$7:$B$8</c:f>
              <c:numCache>
                <c:formatCode>General</c:formatCode>
                <c:ptCount val="2"/>
                <c:pt idx="0">
                  <c:v>50</c:v>
                </c:pt>
                <c:pt idx="1">
                  <c:v>100</c:v>
                </c:pt>
              </c:numCache>
            </c:numRef>
          </c:xVal>
          <c:yVal>
            <c:numRef>
              <c:f>'Units sold vs Selling price'!$C$7:$C$8</c:f>
              <c:numCache>
                <c:formatCode>General</c:formatCode>
                <c:ptCount val="2"/>
                <c:pt idx="0">
                  <c:v>744</c:v>
                </c:pt>
                <c:pt idx="1">
                  <c:v>1313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4-44B1-8079-001AA19EC90B}"/>
            </c:ext>
          </c:extLst>
        </c:ser>
        <c:ser>
          <c:idx val="1"/>
          <c:order val="1"/>
          <c:tx>
            <c:v>A4 Sheets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324248532695845E-2"/>
                  <c:y val="-2.851053680886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90-4239-BDAF-2823A2606178}"/>
                </c:ext>
              </c:extLst>
            </c:dLbl>
            <c:dLbl>
              <c:idx val="1"/>
              <c:layout>
                <c:manualLayout>
                  <c:x val="-2.5198254686666689E-2"/>
                  <c:y val="-2.47053366883013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90-4239-BDAF-2823A26061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'Units sold vs Selling price'!$B$3:$B$4</c:f>
              <c:numCache>
                <c:formatCode>General</c:formatCode>
                <c:ptCount val="2"/>
                <c:pt idx="0">
                  <c:v>5</c:v>
                </c:pt>
                <c:pt idx="1">
                  <c:v>15</c:v>
                </c:pt>
              </c:numCache>
            </c:numRef>
          </c:xVal>
          <c:yVal>
            <c:numRef>
              <c:f>'Units sold vs Selling price'!$C$3:$C$4</c:f>
              <c:numCache>
                <c:formatCode>General</c:formatCode>
                <c:ptCount val="2"/>
                <c:pt idx="0">
                  <c:v>155</c:v>
                </c:pt>
                <c:pt idx="1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64-44B1-8079-001AA19EC90B}"/>
            </c:ext>
          </c:extLst>
        </c:ser>
        <c:ser>
          <c:idx val="2"/>
          <c:order val="2"/>
          <c:tx>
            <c:v>Adhesive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'Units sold vs Selling price'!$B$5:$B$6</c:f>
              <c:numCache>
                <c:formatCode>General</c:formatCode>
                <c:ptCount val="2"/>
                <c:pt idx="0">
                  <c:v>25</c:v>
                </c:pt>
                <c:pt idx="1">
                  <c:v>40</c:v>
                </c:pt>
              </c:numCache>
            </c:numRef>
          </c:xVal>
          <c:yVal>
            <c:numRef>
              <c:f>'Units sold vs Selling price'!$C$5:$C$6</c:f>
              <c:numCache>
                <c:formatCode>General</c:formatCode>
                <c:ptCount val="2"/>
                <c:pt idx="0">
                  <c:v>131</c:v>
                </c:pt>
                <c:pt idx="1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64-44B1-8079-001AA19EC90B}"/>
            </c:ext>
          </c:extLst>
        </c:ser>
        <c:ser>
          <c:idx val="3"/>
          <c:order val="3"/>
          <c:tx>
            <c:v>Spiral Notebook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'Units sold vs Selling price'!$B$9:$B$10</c:f>
              <c:numCache>
                <c:formatCode>General</c:formatCode>
                <c:ptCount val="2"/>
                <c:pt idx="0">
                  <c:v>120</c:v>
                </c:pt>
                <c:pt idx="1">
                  <c:v>185</c:v>
                </c:pt>
              </c:numCache>
            </c:numRef>
          </c:xVal>
          <c:yVal>
            <c:numRef>
              <c:f>'Units sold vs Selling price'!$C$9:$C$10</c:f>
              <c:numCache>
                <c:formatCode>General</c:formatCode>
                <c:ptCount val="2"/>
                <c:pt idx="0">
                  <c:v>191</c:v>
                </c:pt>
                <c:pt idx="1">
                  <c:v>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64-44B1-8079-001AA19EC90B}"/>
            </c:ext>
          </c:extLst>
        </c:ser>
        <c:ser>
          <c:idx val="4"/>
          <c:order val="4"/>
          <c:tx>
            <c:v>Geometry Box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429242952977355E-2"/>
                  <c:y val="-2.8297681317939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90-4239-BDAF-2823A2606178}"/>
                </c:ext>
              </c:extLst>
            </c:dLbl>
            <c:dLbl>
              <c:idx val="1"/>
              <c:layout>
                <c:manualLayout>
                  <c:x val="-2.6429242952977355E-2"/>
                  <c:y val="-2.82976813179394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B90-4239-BDAF-2823A2606178}"/>
                </c:ext>
              </c:extLst>
            </c:dLbl>
            <c:dLbl>
              <c:idx val="2"/>
              <c:layout>
                <c:manualLayout>
                  <c:x val="-1.8779737718501669E-2"/>
                  <c:y val="-2.82976813179394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90-4239-BDAF-2823A26061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'Units sold vs Selling price'!$B$11:$B$13</c:f>
              <c:numCache>
                <c:formatCode>General</c:formatCode>
                <c:ptCount val="3"/>
                <c:pt idx="0">
                  <c:v>155</c:v>
                </c:pt>
                <c:pt idx="1">
                  <c:v>200</c:v>
                </c:pt>
                <c:pt idx="2">
                  <c:v>250</c:v>
                </c:pt>
              </c:numCache>
            </c:numRef>
          </c:xVal>
          <c:yVal>
            <c:numRef>
              <c:f>'Units sold vs Selling price'!$C$11:$C$13</c:f>
              <c:numCache>
                <c:formatCode>General</c:formatCode>
                <c:ptCount val="3"/>
                <c:pt idx="0">
                  <c:v>53</c:v>
                </c:pt>
                <c:pt idx="1">
                  <c:v>54</c:v>
                </c:pt>
                <c:pt idx="2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64-44B1-8079-001AA19EC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470159"/>
        <c:axId val="648471599"/>
      </c:scatterChart>
      <c:valAx>
        <c:axId val="648470159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Selling</a:t>
                </a:r>
                <a:r>
                  <a:rPr lang="en-IN" b="1" baseline="0"/>
                  <a:t> Price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7544196226371827"/>
              <c:y val="0.796036208580175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71599"/>
        <c:crosses val="autoZero"/>
        <c:crossBetween val="midCat"/>
      </c:valAx>
      <c:valAx>
        <c:axId val="6484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Units</a:t>
                </a:r>
                <a:r>
                  <a:rPr lang="en-IN" b="1" baseline="0"/>
                  <a:t> Sold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1.1376927090201295E-2"/>
              <c:y val="0.35030009344632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7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Contribution of Different Categories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'Profit Contribution'!$B$37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5-4DE5-9E2D-04273D9322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4D-4D3B-82A4-34817B473D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4D-4D3B-82A4-34817B473D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4D-4D3B-82A4-34817B473D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4D-4D3B-82A4-34817B473D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Contribution'!$A$38:$A$42</c:f>
              <c:strCache>
                <c:ptCount val="5"/>
                <c:pt idx="0">
                  <c:v>Writing Instruments</c:v>
                </c:pt>
                <c:pt idx="1">
                  <c:v>Art Supplies</c:v>
                </c:pt>
                <c:pt idx="2">
                  <c:v>Notebooks</c:v>
                </c:pt>
                <c:pt idx="3">
                  <c:v>Adhesives</c:v>
                </c:pt>
                <c:pt idx="4">
                  <c:v>Others</c:v>
                </c:pt>
              </c:strCache>
            </c:strRef>
          </c:cat>
          <c:val>
            <c:numRef>
              <c:f>'Profit Contribution'!$B$38:$B$42</c:f>
              <c:numCache>
                <c:formatCode>#,##0</c:formatCode>
                <c:ptCount val="5"/>
                <c:pt idx="0">
                  <c:v>35530</c:v>
                </c:pt>
                <c:pt idx="1">
                  <c:v>33840</c:v>
                </c:pt>
                <c:pt idx="2">
                  <c:v>27820</c:v>
                </c:pt>
                <c:pt idx="3">
                  <c:v>15335</c:v>
                </c:pt>
                <c:pt idx="4">
                  <c:v>29317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5-4DE5-9E2D-04273D932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 i="0">
                <a:effectLst/>
              </a:rPr>
              <a:t>Seasonal Demand Peaks by Product Type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29330125965883E-2"/>
          <c:y val="0.14446846846846848"/>
          <c:w val="0.89115741100705403"/>
          <c:h val="0.63670851954316521"/>
        </c:manualLayout>
      </c:layout>
      <c:lineChart>
        <c:grouping val="standard"/>
        <c:varyColors val="0"/>
        <c:ser>
          <c:idx val="0"/>
          <c:order val="0"/>
          <c:tx>
            <c:strRef>
              <c:f>'Seasonal Demands'!$A$24</c:f>
              <c:strCache>
                <c:ptCount val="1"/>
                <c:pt idx="0">
                  <c:v>A4 Sheets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'Seasonal Demands'!$B$23:$G$23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'Seasonal Demands'!$B$24:$G$24</c:f>
              <c:numCache>
                <c:formatCode>General</c:formatCode>
                <c:ptCount val="6"/>
                <c:pt idx="0">
                  <c:v>54</c:v>
                </c:pt>
                <c:pt idx="1">
                  <c:v>41</c:v>
                </c:pt>
                <c:pt idx="2">
                  <c:v>55</c:v>
                </c:pt>
                <c:pt idx="3">
                  <c:v>72</c:v>
                </c:pt>
                <c:pt idx="4">
                  <c:v>93</c:v>
                </c:pt>
                <c:pt idx="5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0-446A-AF48-87310FF32075}"/>
            </c:ext>
          </c:extLst>
        </c:ser>
        <c:ser>
          <c:idx val="1"/>
          <c:order val="1"/>
          <c:tx>
            <c:strRef>
              <c:f>'Seasonal Demands'!$A$25</c:f>
              <c:strCache>
                <c:ptCount val="1"/>
                <c:pt idx="0">
                  <c:v>Adhesive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'Seasonal Demands'!$B$23:$G$23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'Seasonal Demands'!$B$25:$G$25</c:f>
              <c:numCache>
                <c:formatCode>General</c:formatCode>
                <c:ptCount val="6"/>
                <c:pt idx="0">
                  <c:v>80</c:v>
                </c:pt>
                <c:pt idx="1">
                  <c:v>61</c:v>
                </c:pt>
                <c:pt idx="2">
                  <c:v>66</c:v>
                </c:pt>
                <c:pt idx="3">
                  <c:v>93</c:v>
                </c:pt>
                <c:pt idx="4">
                  <c:v>87</c:v>
                </c:pt>
                <c:pt idx="5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D0-446A-AF48-87310FF32075}"/>
            </c:ext>
          </c:extLst>
        </c:ser>
        <c:ser>
          <c:idx val="2"/>
          <c:order val="2"/>
          <c:tx>
            <c:strRef>
              <c:f>'Seasonal Demands'!$A$26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'Seasonal Demands'!$B$23:$G$23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'Seasonal Demands'!$B$26:$G$26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D0-446A-AF48-87310FF32075}"/>
            </c:ext>
          </c:extLst>
        </c:ser>
        <c:ser>
          <c:idx val="3"/>
          <c:order val="3"/>
          <c:tx>
            <c:strRef>
              <c:f>'Seasonal Demands'!$A$27</c:f>
              <c:strCache>
                <c:ptCount val="1"/>
                <c:pt idx="0">
                  <c:v>Ruled Notebook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D0-446A-AF48-87310FF320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'Seasonal Demands'!$B$23:$G$23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'Seasonal Demands'!$B$27:$G$27</c:f>
              <c:numCache>
                <c:formatCode>General</c:formatCode>
                <c:ptCount val="6"/>
                <c:pt idx="0">
                  <c:v>63</c:v>
                </c:pt>
                <c:pt idx="1">
                  <c:v>47</c:v>
                </c:pt>
                <c:pt idx="2">
                  <c:v>78</c:v>
                </c:pt>
                <c:pt idx="3">
                  <c:v>189</c:v>
                </c:pt>
                <c:pt idx="4">
                  <c:v>97</c:v>
                </c:pt>
                <c:pt idx="5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D0-446A-AF48-87310FF32075}"/>
            </c:ext>
          </c:extLst>
        </c:ser>
        <c:ser>
          <c:idx val="4"/>
          <c:order val="4"/>
          <c:tx>
            <c:strRef>
              <c:f>'Seasonal Demands'!$A$28</c:f>
              <c:strCache>
                <c:ptCount val="1"/>
                <c:pt idx="0">
                  <c:v>Spiral Notebook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'Seasonal Demands'!$B$23:$G$23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'Seasonal Demands'!$B$28:$G$28</c:f>
              <c:numCache>
                <c:formatCode>General</c:formatCode>
                <c:ptCount val="6"/>
                <c:pt idx="0">
                  <c:v>48</c:v>
                </c:pt>
                <c:pt idx="1">
                  <c:v>31</c:v>
                </c:pt>
                <c:pt idx="2">
                  <c:v>58</c:v>
                </c:pt>
                <c:pt idx="3">
                  <c:v>131</c:v>
                </c:pt>
                <c:pt idx="4">
                  <c:v>72</c:v>
                </c:pt>
                <c:pt idx="5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D0-446A-AF48-87310FF32075}"/>
            </c:ext>
          </c:extLst>
        </c:ser>
        <c:ser>
          <c:idx val="5"/>
          <c:order val="5"/>
          <c:tx>
            <c:strRef>
              <c:f>'Seasonal Demands'!$A$29</c:f>
              <c:strCache>
                <c:ptCount val="1"/>
                <c:pt idx="0">
                  <c:v>Pencils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'Seasonal Demands'!$B$23:$G$23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'Seasonal Demands'!$B$29:$G$29</c:f>
              <c:numCache>
                <c:formatCode>General</c:formatCode>
                <c:ptCount val="6"/>
                <c:pt idx="0">
                  <c:v>121</c:v>
                </c:pt>
                <c:pt idx="1">
                  <c:v>92</c:v>
                </c:pt>
                <c:pt idx="2">
                  <c:v>115</c:v>
                </c:pt>
                <c:pt idx="3">
                  <c:v>153</c:v>
                </c:pt>
                <c:pt idx="4">
                  <c:v>115</c:v>
                </c:pt>
                <c:pt idx="5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D0-446A-AF48-87310FF32075}"/>
            </c:ext>
          </c:extLst>
        </c:ser>
        <c:ser>
          <c:idx val="6"/>
          <c:order val="6"/>
          <c:tx>
            <c:strRef>
              <c:f>'Seasonal Demands'!$A$30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1.9713258866980093E-2"/>
                  <c:y val="-2.8828828828828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D0-446A-AF48-87310FF32075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2D0-446A-AF48-87310FF32075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D0-446A-AF48-87310FF320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'Seasonal Demands'!$B$23:$G$23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'Seasonal Demands'!$B$30:$G$30</c:f>
              <c:numCache>
                <c:formatCode>General</c:formatCode>
                <c:ptCount val="6"/>
                <c:pt idx="0">
                  <c:v>215</c:v>
                </c:pt>
                <c:pt idx="1">
                  <c:v>168</c:v>
                </c:pt>
                <c:pt idx="2">
                  <c:v>168</c:v>
                </c:pt>
                <c:pt idx="3">
                  <c:v>250</c:v>
                </c:pt>
                <c:pt idx="4">
                  <c:v>208</c:v>
                </c:pt>
                <c:pt idx="5">
                  <c:v>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D0-446A-AF48-87310FF32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241008"/>
        <c:axId val="488244368"/>
      </c:lineChart>
      <c:catAx>
        <c:axId val="48824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Months</a:t>
                </a:r>
              </a:p>
            </c:rich>
          </c:tx>
          <c:layout>
            <c:manualLayout>
              <c:xMode val="edge"/>
              <c:yMode val="edge"/>
              <c:x val="0.49469456513778615"/>
              <c:y val="0.85035993473788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44368"/>
        <c:crosses val="autoZero"/>
        <c:auto val="1"/>
        <c:lblAlgn val="ctr"/>
        <c:lblOffset val="100"/>
        <c:noMultiLvlLbl val="0"/>
      </c:catAx>
      <c:valAx>
        <c:axId val="4882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Units</a:t>
                </a:r>
                <a:r>
                  <a:rPr lang="en-IN" sz="1200" b="1" baseline="0"/>
                  <a:t> Sold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2.7868085137007143E-3"/>
              <c:y val="0.37564247712279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  <cx:data id="5">
      <cx:strDim type="cat">
        <cx:f>_xlchart.v1.0</cx:f>
      </cx:strDim>
      <cx:numDim type="val">
        <cx:f>_xlchart.v1.12</cx:f>
      </cx:numDim>
    </cx:data>
    <cx:data id="6">
      <cx:strDim type="cat">
        <cx:f>_xlchart.v1.0</cx:f>
      </cx:strDim>
      <cx:numDim type="val">
        <cx:f>_xlchart.v1.14</cx:f>
      </cx:numDim>
    </cx:data>
    <cx:data id="7">
      <cx:strDim type="cat">
        <cx:f>_xlchart.v1.0</cx:f>
      </cx:strDim>
      <cx:numDim type="val">
        <cx:f>_xlchart.v1.16</cx:f>
      </cx:numDim>
    </cx:data>
    <cx:data id="8">
      <cx:strDim type="cat">
        <cx:f>_xlchart.v1.0</cx:f>
      </cx:strDim>
      <cx:numDim type="val">
        <cx:f>_xlchart.v1.18</cx:f>
      </cx:numDim>
    </cx:data>
  </cx:chartData>
  <cx:chart>
    <cx:title pos="t" align="ctr" overlay="0"/>
    <cx:plotArea>
      <cx:plotAreaRegion>
        <cx:series layoutId="clusteredColumn" uniqueId="{F23C4F94-0443-4E63-85FF-3CEF0E47DBE1}" formatIdx="0">
          <cx:tx>
            <cx:txData>
              <cx:f>_xlchart.v1.1</cx:f>
              <cx:v>Product Type</cx:v>
            </cx:txData>
          </cx:tx>
          <cx:dataId val="0"/>
          <cx:layoutPr>
            <cx:aggregation/>
          </cx:layoutPr>
          <cx:axisId val="0"/>
        </cx:series>
        <cx:series layoutId="paretoLine" ownerIdx="0" uniqueId="{F9733B97-3887-4D7B-B5CA-9393C9050D39}" formatIdx="1">
          <cx:axisId val="1"/>
        </cx:series>
        <cx:series layoutId="clusteredColumn" hidden="1" uniqueId="{0597C612-6BC1-41BF-88A3-6C68CC59F7DE}" formatIdx="2">
          <cx:tx>
            <cx:txData>
              <cx:f>_xlchart.v1.3</cx:f>
              <cx:v>Opening Stocks</cx:v>
            </cx:txData>
          </cx:tx>
          <cx:dataId val="1"/>
          <cx:layoutPr>
            <cx:aggregation/>
          </cx:layoutPr>
          <cx:axisId val="0"/>
        </cx:series>
        <cx:series layoutId="paretoLine" ownerIdx="2" uniqueId="{C2A68584-C159-4580-9546-155D9C9494CF}" formatIdx="3">
          <cx:axisId val="1"/>
        </cx:series>
        <cx:series layoutId="clusteredColumn" hidden="1" uniqueId="{6D1C8995-5225-44E3-8174-C297B785025C}" formatIdx="4">
          <cx:tx>
            <cx:txData>
              <cx:f>_xlchart.v1.5</cx:f>
              <cx:v>Purchases</cx:v>
            </cx:txData>
          </cx:tx>
          <cx:dataId val="2"/>
          <cx:layoutPr>
            <cx:aggregation/>
          </cx:layoutPr>
          <cx:axisId val="0"/>
        </cx:series>
        <cx:series layoutId="paretoLine" ownerIdx="4" uniqueId="{6A51661A-BC62-46E0-BA5D-1E485AB5251D}" formatIdx="5">
          <cx:axisId val="1"/>
        </cx:series>
        <cx:series layoutId="clusteredColumn" hidden="1" uniqueId="{462E35DB-5EEF-44C6-8E6F-BF5875970950}" formatIdx="6">
          <cx:tx>
            <cx:txData>
              <cx:f>_xlchart.v1.7</cx:f>
              <cx:v>Closing Stock</cx:v>
            </cx:txData>
          </cx:tx>
          <cx:dataId val="3"/>
          <cx:layoutPr>
            <cx:aggregation/>
          </cx:layoutPr>
          <cx:axisId val="0"/>
        </cx:series>
        <cx:series layoutId="paretoLine" ownerIdx="6" uniqueId="{B3ED4B94-0C8D-43E1-A064-A3E56001C9E5}" formatIdx="7">
          <cx:axisId val="1"/>
        </cx:series>
        <cx:series layoutId="clusteredColumn" hidden="1" uniqueId="{6B2CEAA9-1F83-4F6E-9D7C-3E6BC482FD03}" formatIdx="8">
          <cx:tx>
            <cx:txData>
              <cx:f>_xlchart.v1.9</cx:f>
              <cx:v>Units Sold</cx:v>
            </cx:txData>
          </cx:tx>
          <cx:dataId val="4"/>
          <cx:layoutPr>
            <cx:aggregation/>
          </cx:layoutPr>
          <cx:axisId val="0"/>
        </cx:series>
        <cx:series layoutId="paretoLine" ownerIdx="8" uniqueId="{C1EA7703-CF1F-4E58-8ABD-FB22B55517A8}" formatIdx="9">
          <cx:axisId val="1"/>
        </cx:series>
        <cx:series layoutId="clusteredColumn" hidden="1" uniqueId="{42ED59F4-F87D-4020-B73E-178757FC84A3}" formatIdx="10">
          <cx:tx>
            <cx:txData>
              <cx:f>_xlchart.v1.11</cx:f>
              <cx:v>Purchase Price</cx:v>
            </cx:txData>
          </cx:tx>
          <cx:dataId val="5"/>
          <cx:layoutPr>
            <cx:aggregation/>
          </cx:layoutPr>
          <cx:axisId val="0"/>
        </cx:series>
        <cx:series layoutId="paretoLine" ownerIdx="10" uniqueId="{BCF52F35-706A-4900-9046-173F4D0B3001}" formatIdx="11">
          <cx:axisId val="1"/>
        </cx:series>
        <cx:series layoutId="clusteredColumn" hidden="1" uniqueId="{06389165-33C8-483A-A409-C5FD677CADA4}" formatIdx="12">
          <cx:tx>
            <cx:txData>
              <cx:f>_xlchart.v1.13</cx:f>
              <cx:v>Selling Price</cx:v>
            </cx:txData>
          </cx:tx>
          <cx:dataId val="6"/>
          <cx:layoutPr>
            <cx:aggregation/>
          </cx:layoutPr>
          <cx:axisId val="0"/>
        </cx:series>
        <cx:series layoutId="paretoLine" ownerIdx="12" uniqueId="{9AE95D82-A8C0-45B9-B7A2-DB8FE258A76B}" formatIdx="13">
          <cx:axisId val="1"/>
        </cx:series>
        <cx:series layoutId="clusteredColumn" hidden="1" uniqueId="{6078853B-E341-4B1C-9ABF-D8E72B2EC3CA}" formatIdx="14">
          <cx:tx>
            <cx:txData>
              <cx:f>_xlchart.v1.15</cx:f>
              <cx:v>Total Revenue</cx:v>
            </cx:txData>
          </cx:tx>
          <cx:dataId val="7"/>
          <cx:layoutPr>
            <cx:aggregation/>
          </cx:layoutPr>
          <cx:axisId val="0"/>
        </cx:series>
        <cx:series layoutId="paretoLine" ownerIdx="14" uniqueId="{5468A16C-0050-4591-90F1-A8C928C44E7A}" formatIdx="15">
          <cx:axisId val="1"/>
        </cx:series>
        <cx:series layoutId="clusteredColumn" hidden="1" uniqueId="{6A912D78-E36B-411C-BF80-675DF5E813BB}" formatIdx="16">
          <cx:tx>
            <cx:txData>
              <cx:f>_xlchart.v1.17</cx:f>
              <cx:v>Total Cost</cx:v>
            </cx:txData>
          </cx:tx>
          <cx:dataId val="8"/>
          <cx:layoutPr>
            <cx:aggregation/>
          </cx:layoutPr>
          <cx:axisId val="0"/>
        </cx:series>
        <cx:series layoutId="paretoLine" ownerIdx="16" uniqueId="{676BB86A-0836-49DA-AB06-105C67B16F77}" formatIdx="17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419100</xdr:colOff>
      <xdr:row>1</xdr:row>
      <xdr:rowOff>152400</xdr:rowOff>
    </xdr:from>
    <xdr:to>
      <xdr:col>32</xdr:col>
      <xdr:colOff>114300</xdr:colOff>
      <xdr:row>16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79FE936-CF8B-9A62-E230-FC55098A99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22050" y="342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12</xdr:row>
      <xdr:rowOff>85725</xdr:rowOff>
    </xdr:from>
    <xdr:to>
      <xdr:col>14</xdr:col>
      <xdr:colOff>400050</xdr:colOff>
      <xdr:row>26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02F6FF-3027-ACD1-18F9-22FF2BD1A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28</xdr:row>
      <xdr:rowOff>57150</xdr:rowOff>
    </xdr:from>
    <xdr:to>
      <xdr:col>20</xdr:col>
      <xdr:colOff>466724</xdr:colOff>
      <xdr:row>46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91D8E5-13FF-5593-99EF-A63834DA5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12</xdr:row>
      <xdr:rowOff>38100</xdr:rowOff>
    </xdr:from>
    <xdr:to>
      <xdr:col>21</xdr:col>
      <xdr:colOff>104775</xdr:colOff>
      <xdr:row>30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115754-91C6-6EB7-345C-A119AC256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25054</xdr:colOff>
      <xdr:row>33</xdr:row>
      <xdr:rowOff>165652</xdr:rowOff>
    </xdr:from>
    <xdr:to>
      <xdr:col>21</xdr:col>
      <xdr:colOff>196711</xdr:colOff>
      <xdr:row>51</xdr:row>
      <xdr:rowOff>51766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C21F55-E265-1430-78AC-340075C37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9</xdr:row>
      <xdr:rowOff>104775</xdr:rowOff>
    </xdr:from>
    <xdr:to>
      <xdr:col>18</xdr:col>
      <xdr:colOff>600075</xdr:colOff>
      <xdr:row>28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DBF20-8DA5-F9F5-DE60-E34C45507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295276</xdr:colOff>
      <xdr:row>30</xdr:row>
      <xdr:rowOff>157161</xdr:rowOff>
    </xdr:from>
    <xdr:to>
      <xdr:col>10</xdr:col>
      <xdr:colOff>428625</xdr:colOff>
      <xdr:row>48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9483A8-3E50-7303-D146-4D3F08C20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128587</xdr:colOff>
      <xdr:row>3</xdr:row>
      <xdr:rowOff>85725</xdr:rowOff>
    </xdr:from>
    <xdr:to>
      <xdr:col>21</xdr:col>
      <xdr:colOff>66675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177E7D-EA55-0AD7-28E9-795B9EC52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1733550</xdr:colOff>
      <xdr:row>13</xdr:row>
      <xdr:rowOff>66675</xdr:rowOff>
    </xdr:from>
    <xdr:to>
      <xdr:col>8</xdr:col>
      <xdr:colOff>590549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E9D58C-A667-FF89-1531-66AE6C6E8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395286</xdr:colOff>
      <xdr:row>11</xdr:row>
      <xdr:rowOff>47625</xdr:rowOff>
    </xdr:from>
    <xdr:to>
      <xdr:col>19</xdr:col>
      <xdr:colOff>171450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B2B52-8EED-CFA4-A8B8-60573CE1B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261937</xdr:colOff>
      <xdr:row>2</xdr:row>
      <xdr:rowOff>114300</xdr:rowOff>
    </xdr:from>
    <xdr:to>
      <xdr:col>18</xdr:col>
      <xdr:colOff>295275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5ED07-8098-B1C0-8916-51020003C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395286</xdr:colOff>
      <xdr:row>26</xdr:row>
      <xdr:rowOff>95250</xdr:rowOff>
    </xdr:from>
    <xdr:to>
      <xdr:col>20</xdr:col>
      <xdr:colOff>257175</xdr:colOff>
      <xdr:row>43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7A540-4558-C86F-7837-6AA7F329F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285751</xdr:colOff>
      <xdr:row>8</xdr:row>
      <xdr:rowOff>104775</xdr:rowOff>
    </xdr:from>
    <xdr:to>
      <xdr:col>18</xdr:col>
      <xdr:colOff>47625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5B60F-E101-8825-1192-8234E1BBB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104776</xdr:colOff>
      <xdr:row>3</xdr:row>
      <xdr:rowOff>0</xdr:rowOff>
    </xdr:from>
    <xdr:to>
      <xdr:col>31</xdr:col>
      <xdr:colOff>276226</xdr:colOff>
      <xdr:row>14</xdr:row>
      <xdr:rowOff>352425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F2A91-757F-4DEF-D242-4B40F705F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520187</xdr:colOff>
      <xdr:row>0</xdr:row>
      <xdr:rowOff>300061</xdr:rowOff>
    </xdr:from>
    <xdr:to>
      <xdr:col>10</xdr:col>
      <xdr:colOff>354161</xdr:colOff>
      <xdr:row>15</xdr:row>
      <xdr:rowOff>140054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B414E-FBE3-8238-35CC-C57AE6A71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0.47434</cdr:x>
      <cdr:y>0.23244</cdr:y>
    </cdr:from>
    <cdr:to>
      <cdr:x>0.47434</cdr:x>
      <cdr:y>0.56517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5D29B72-1805-4CBE-9BDD-78FAEF0A002E}"/>
            </a:ext>
          </a:extLst>
        </cdr:cNvPr>
        <cdr:cNvCxnSpPr/>
      </cdr:nvCxnSpPr>
      <cdr:spPr>
        <a:xfrm xmlns:a="http://schemas.openxmlformats.org/drawingml/2006/main">
          <a:off x="3347341" y="759831"/>
          <a:ext cx="0" cy="1087694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7</xdr:row>
      <xdr:rowOff>123825</xdr:rowOff>
    </xdr:from>
    <xdr:to>
      <xdr:col>14</xdr:col>
      <xdr:colOff>333375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15959-FF34-3A85-54A9-609BB67FD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138111</xdr:colOff>
      <xdr:row>8</xdr:row>
      <xdr:rowOff>142875</xdr:rowOff>
    </xdr:from>
    <xdr:to>
      <xdr:col>19</xdr:col>
      <xdr:colOff>28574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D479E3-28D9-1F68-5457-D1DF32B38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547687</xdr:colOff>
      <xdr:row>20</xdr:row>
      <xdr:rowOff>95250</xdr:rowOff>
    </xdr:from>
    <xdr:to>
      <xdr:col>7</xdr:col>
      <xdr:colOff>128587</xdr:colOff>
      <xdr:row>34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8C88D5-AB9F-CD59-D6E1-44E812ABE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386658</xdr:colOff>
      <xdr:row>14</xdr:row>
      <xdr:rowOff>84876</xdr:rowOff>
    </xdr:from>
    <xdr:to>
      <xdr:col>17</xdr:col>
      <xdr:colOff>533870</xdr:colOff>
      <xdr:row>31</xdr:row>
      <xdr:rowOff>183914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13805C-FF2C-8C32-673F-CD3FE9A5B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394074</xdr:colOff>
      <xdr:row>24</xdr:row>
      <xdr:rowOff>351304</xdr:rowOff>
    </xdr:from>
    <xdr:to>
      <xdr:col>15</xdr:col>
      <xdr:colOff>46691</xdr:colOff>
      <xdr:row>41</xdr:row>
      <xdr:rowOff>37353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C3281F-9529-862E-3E83-A0DB80BF7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285749</xdr:colOff>
      <xdr:row>10</xdr:row>
      <xdr:rowOff>9525</xdr:rowOff>
    </xdr:from>
    <xdr:to>
      <xdr:col>21</xdr:col>
      <xdr:colOff>57150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D3E81-1839-9417-79AF-7C74035CF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9863-5322-4877-8270-E98DAD5167C5}">
  <dimension ref="A1:K66"/>
  <sheetViews>
    <sheetView topLeftCell="B30" zoomScaleNormal="100" workbookViewId="0">
      <selection activeCell="F2" sqref="F2:F65"/>
    </sheetView>
  </sheetViews>
  <sheetFormatPr defaultRowHeight="15" x14ac:dyDescent="0.25"/>
  <cols>
    <col min="1" max="1" width="72.7109375" customWidth="1"/>
    <col min="2" max="2" width="25.5703125" bestFit="1" customWidth="1"/>
    <col min="3" max="3" width="17.28515625" customWidth="1"/>
    <col min="4" max="4" width="9.85546875" bestFit="1" customWidth="1"/>
    <col min="5" max="5" width="12.5703125" bestFit="1" customWidth="1"/>
    <col min="6" max="6" width="10" bestFit="1" customWidth="1"/>
    <col min="7" max="7" width="17" customWidth="1"/>
    <col min="8" max="8" width="16.7109375" customWidth="1"/>
    <col min="9" max="9" width="16.42578125" customWidth="1"/>
    <col min="10" max="10" width="12.7109375" customWidth="1"/>
    <col min="11" max="11" width="16" customWidth="1"/>
  </cols>
  <sheetData>
    <row r="1" spans="1:11" x14ac:dyDescent="0.25">
      <c r="A1" s="5" t="s">
        <v>0</v>
      </c>
      <c r="B1" s="5" t="s">
        <v>18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3" t="s">
        <v>9</v>
      </c>
    </row>
    <row r="2" spans="1:11" x14ac:dyDescent="0.25">
      <c r="A2" s="7" t="s">
        <v>22</v>
      </c>
      <c r="B2" s="6" t="s">
        <v>19</v>
      </c>
      <c r="C2" s="6">
        <v>42</v>
      </c>
      <c r="D2" s="6">
        <v>22</v>
      </c>
      <c r="E2" s="6">
        <f>(D2+C2) -F2</f>
        <v>46</v>
      </c>
      <c r="F2" s="6">
        <v>18</v>
      </c>
      <c r="G2" s="4">
        <v>90</v>
      </c>
      <c r="H2" s="4">
        <v>120</v>
      </c>
      <c r="I2" s="4">
        <f>F2*H2</f>
        <v>2160</v>
      </c>
      <c r="J2" s="4">
        <f>F2*G2</f>
        <v>1620</v>
      </c>
      <c r="K2" s="4">
        <f>I2-J2</f>
        <v>540</v>
      </c>
    </row>
    <row r="3" spans="1:11" x14ac:dyDescent="0.25">
      <c r="A3" s="7" t="s">
        <v>21</v>
      </c>
      <c r="B3" s="6" t="s">
        <v>19</v>
      </c>
      <c r="C3" s="6">
        <v>39</v>
      </c>
      <c r="D3" s="6">
        <v>17</v>
      </c>
      <c r="E3" s="6">
        <f>(D3+C3) -F3</f>
        <v>42</v>
      </c>
      <c r="F3" s="6">
        <v>14</v>
      </c>
      <c r="G3" s="4">
        <v>135</v>
      </c>
      <c r="H3" s="4">
        <v>160</v>
      </c>
      <c r="I3" s="4">
        <f t="shared" ref="I3:I65" si="0">F3*H3</f>
        <v>2240</v>
      </c>
      <c r="J3" s="4">
        <f t="shared" ref="J3:J65" si="1">F3*G3</f>
        <v>1890</v>
      </c>
      <c r="K3" s="4">
        <f t="shared" ref="K3:K65" si="2">I3-J3</f>
        <v>350</v>
      </c>
    </row>
    <row r="4" spans="1:11" x14ac:dyDescent="0.25">
      <c r="A4" s="7" t="s">
        <v>20</v>
      </c>
      <c r="B4" s="6" t="s">
        <v>19</v>
      </c>
      <c r="C4" s="6">
        <v>52</v>
      </c>
      <c r="D4" s="6">
        <v>15</v>
      </c>
      <c r="E4" s="6">
        <f>(D4+C4) -F4</f>
        <v>51</v>
      </c>
      <c r="F4" s="6">
        <v>16</v>
      </c>
      <c r="G4" s="4">
        <v>165</v>
      </c>
      <c r="H4" s="4">
        <v>185</v>
      </c>
      <c r="I4" s="4">
        <f t="shared" si="0"/>
        <v>2960</v>
      </c>
      <c r="J4" s="4">
        <f t="shared" si="1"/>
        <v>2640</v>
      </c>
      <c r="K4" s="4">
        <f t="shared" si="2"/>
        <v>320</v>
      </c>
    </row>
    <row r="5" spans="1:11" x14ac:dyDescent="0.25">
      <c r="A5" s="7" t="s">
        <v>23</v>
      </c>
      <c r="B5" s="6" t="s">
        <v>32</v>
      </c>
      <c r="C5" s="6">
        <v>34</v>
      </c>
      <c r="D5" s="6">
        <v>20</v>
      </c>
      <c r="E5" s="6">
        <f>(D5+C5) -F5</f>
        <v>39</v>
      </c>
      <c r="F5" s="6">
        <v>15</v>
      </c>
      <c r="G5" s="4">
        <v>25</v>
      </c>
      <c r="H5" s="4">
        <v>35</v>
      </c>
      <c r="I5" s="4">
        <f t="shared" si="0"/>
        <v>525</v>
      </c>
      <c r="J5" s="4">
        <f t="shared" si="1"/>
        <v>375</v>
      </c>
      <c r="K5" s="4">
        <f t="shared" si="2"/>
        <v>150</v>
      </c>
    </row>
    <row r="6" spans="1:11" x14ac:dyDescent="0.25">
      <c r="A6" s="7" t="s">
        <v>24</v>
      </c>
      <c r="B6" s="6" t="s">
        <v>32</v>
      </c>
      <c r="C6" s="6">
        <v>38</v>
      </c>
      <c r="D6" s="6">
        <v>23</v>
      </c>
      <c r="E6" s="6">
        <f t="shared" ref="E6:E65" si="3">(D6+C6) -F6</f>
        <v>42</v>
      </c>
      <c r="F6" s="6">
        <v>19</v>
      </c>
      <c r="G6" s="4">
        <v>30</v>
      </c>
      <c r="H6" s="4">
        <v>55</v>
      </c>
      <c r="I6" s="4">
        <f t="shared" si="0"/>
        <v>1045</v>
      </c>
      <c r="J6" s="4">
        <f t="shared" si="1"/>
        <v>570</v>
      </c>
      <c r="K6" s="4">
        <f t="shared" si="2"/>
        <v>475</v>
      </c>
    </row>
    <row r="7" spans="1:11" x14ac:dyDescent="0.25">
      <c r="A7" s="7" t="s">
        <v>25</v>
      </c>
      <c r="B7" s="6" t="s">
        <v>32</v>
      </c>
      <c r="C7" s="6">
        <v>29</v>
      </c>
      <c r="D7" s="6">
        <v>15</v>
      </c>
      <c r="E7" s="6">
        <f t="shared" si="3"/>
        <v>32</v>
      </c>
      <c r="F7" s="6">
        <v>12</v>
      </c>
      <c r="G7" s="4">
        <v>18</v>
      </c>
      <c r="H7" s="4">
        <v>30</v>
      </c>
      <c r="I7" s="4">
        <f t="shared" si="0"/>
        <v>360</v>
      </c>
      <c r="J7" s="4">
        <f t="shared" si="1"/>
        <v>216</v>
      </c>
      <c r="K7" s="4">
        <f t="shared" si="2"/>
        <v>144</v>
      </c>
    </row>
    <row r="8" spans="1:11" x14ac:dyDescent="0.25">
      <c r="A8" s="7" t="s">
        <v>26</v>
      </c>
      <c r="B8" s="6" t="s">
        <v>32</v>
      </c>
      <c r="C8" s="6">
        <v>45</v>
      </c>
      <c r="D8" s="6">
        <v>18</v>
      </c>
      <c r="E8" s="6">
        <f t="shared" si="3"/>
        <v>46</v>
      </c>
      <c r="F8" s="6">
        <v>17</v>
      </c>
      <c r="G8" s="4">
        <v>50</v>
      </c>
      <c r="H8" s="4">
        <v>65</v>
      </c>
      <c r="I8" s="4">
        <f t="shared" si="0"/>
        <v>1105</v>
      </c>
      <c r="J8" s="4">
        <f t="shared" si="1"/>
        <v>850</v>
      </c>
      <c r="K8" s="4">
        <f t="shared" si="2"/>
        <v>255</v>
      </c>
    </row>
    <row r="9" spans="1:11" x14ac:dyDescent="0.25">
      <c r="A9" s="7" t="s">
        <v>27</v>
      </c>
      <c r="B9" s="6" t="s">
        <v>33</v>
      </c>
      <c r="C9" s="6">
        <v>33</v>
      </c>
      <c r="D9" s="6">
        <v>16</v>
      </c>
      <c r="E9" s="6">
        <f t="shared" si="3"/>
        <v>36</v>
      </c>
      <c r="F9" s="6">
        <v>13</v>
      </c>
      <c r="G9" s="4">
        <v>35</v>
      </c>
      <c r="H9" s="4">
        <v>50</v>
      </c>
      <c r="I9" s="4">
        <f t="shared" si="0"/>
        <v>650</v>
      </c>
      <c r="J9" s="4">
        <f t="shared" si="1"/>
        <v>455</v>
      </c>
      <c r="K9" s="4">
        <f t="shared" si="2"/>
        <v>195</v>
      </c>
    </row>
    <row r="10" spans="1:11" x14ac:dyDescent="0.25">
      <c r="A10" s="7" t="s">
        <v>28</v>
      </c>
      <c r="B10" s="6" t="s">
        <v>33</v>
      </c>
      <c r="C10" s="6">
        <v>31</v>
      </c>
      <c r="D10" s="6">
        <v>10</v>
      </c>
      <c r="E10" s="6">
        <f t="shared" si="3"/>
        <v>28</v>
      </c>
      <c r="F10" s="6">
        <v>13</v>
      </c>
      <c r="G10" s="4">
        <v>22</v>
      </c>
      <c r="H10" s="4">
        <v>40</v>
      </c>
      <c r="I10" s="4">
        <f t="shared" si="0"/>
        <v>520</v>
      </c>
      <c r="J10" s="4">
        <f t="shared" si="1"/>
        <v>286</v>
      </c>
      <c r="K10" s="4">
        <f t="shared" si="2"/>
        <v>234</v>
      </c>
    </row>
    <row r="11" spans="1:11" x14ac:dyDescent="0.25">
      <c r="A11" s="7" t="s">
        <v>29</v>
      </c>
      <c r="B11" s="6" t="s">
        <v>16</v>
      </c>
      <c r="C11" s="6">
        <v>22</v>
      </c>
      <c r="D11" s="6">
        <v>10</v>
      </c>
      <c r="E11" s="6">
        <f t="shared" si="3"/>
        <v>22</v>
      </c>
      <c r="F11" s="6">
        <v>10</v>
      </c>
      <c r="G11" s="4">
        <v>190</v>
      </c>
      <c r="H11" s="4">
        <v>220</v>
      </c>
      <c r="I11" s="4">
        <f t="shared" si="0"/>
        <v>2200</v>
      </c>
      <c r="J11" s="4">
        <f t="shared" si="1"/>
        <v>1900</v>
      </c>
      <c r="K11" s="4">
        <f t="shared" si="2"/>
        <v>300</v>
      </c>
    </row>
    <row r="12" spans="1:11" x14ac:dyDescent="0.25">
      <c r="A12" s="7" t="s">
        <v>30</v>
      </c>
      <c r="B12" s="6" t="s">
        <v>16</v>
      </c>
      <c r="C12" s="6">
        <v>27</v>
      </c>
      <c r="D12" s="6">
        <v>12</v>
      </c>
      <c r="E12" s="6">
        <f t="shared" si="3"/>
        <v>27</v>
      </c>
      <c r="F12" s="6">
        <v>12</v>
      </c>
      <c r="G12" s="4">
        <v>65</v>
      </c>
      <c r="H12" s="4">
        <v>85</v>
      </c>
      <c r="I12" s="4">
        <f t="shared" si="0"/>
        <v>1020</v>
      </c>
      <c r="J12" s="4">
        <f t="shared" si="1"/>
        <v>780</v>
      </c>
      <c r="K12" s="4">
        <f t="shared" si="2"/>
        <v>240</v>
      </c>
    </row>
    <row r="13" spans="1:11" x14ac:dyDescent="0.25">
      <c r="A13" s="7" t="s">
        <v>31</v>
      </c>
      <c r="B13" s="6" t="s">
        <v>16</v>
      </c>
      <c r="C13" s="6">
        <v>19</v>
      </c>
      <c r="D13" s="6">
        <v>10</v>
      </c>
      <c r="E13" s="6">
        <f t="shared" si="3"/>
        <v>20</v>
      </c>
      <c r="F13" s="6">
        <v>9</v>
      </c>
      <c r="G13" s="4">
        <v>30</v>
      </c>
      <c r="H13" s="4">
        <v>42</v>
      </c>
      <c r="I13" s="4">
        <f t="shared" si="0"/>
        <v>378</v>
      </c>
      <c r="J13" s="4">
        <f t="shared" si="1"/>
        <v>270</v>
      </c>
      <c r="K13" s="4">
        <f t="shared" si="2"/>
        <v>108</v>
      </c>
    </row>
    <row r="14" spans="1:11" x14ac:dyDescent="0.25">
      <c r="A14" s="7" t="s">
        <v>34</v>
      </c>
      <c r="B14" s="6" t="s">
        <v>38</v>
      </c>
      <c r="C14" s="6">
        <v>57</v>
      </c>
      <c r="D14" s="6">
        <v>18</v>
      </c>
      <c r="E14" s="6">
        <f t="shared" si="3"/>
        <v>41</v>
      </c>
      <c r="F14" s="6">
        <v>34</v>
      </c>
      <c r="G14" s="4">
        <v>25</v>
      </c>
      <c r="H14" s="4">
        <v>40</v>
      </c>
      <c r="I14" s="4">
        <f t="shared" si="0"/>
        <v>1360</v>
      </c>
      <c r="J14" s="4">
        <f t="shared" si="1"/>
        <v>850</v>
      </c>
      <c r="K14" s="4">
        <f t="shared" si="2"/>
        <v>510</v>
      </c>
    </row>
    <row r="15" spans="1:11" x14ac:dyDescent="0.25">
      <c r="A15" s="7" t="s">
        <v>35</v>
      </c>
      <c r="B15" s="6" t="s">
        <v>38</v>
      </c>
      <c r="C15" s="6">
        <v>52</v>
      </c>
      <c r="D15" s="6">
        <v>22</v>
      </c>
      <c r="E15" s="6">
        <f t="shared" si="3"/>
        <v>45</v>
      </c>
      <c r="F15" s="6">
        <v>29</v>
      </c>
      <c r="G15" s="4">
        <v>45</v>
      </c>
      <c r="H15" s="4">
        <v>60</v>
      </c>
      <c r="I15" s="4">
        <f t="shared" si="0"/>
        <v>1740</v>
      </c>
      <c r="J15" s="4">
        <f t="shared" si="1"/>
        <v>1305</v>
      </c>
      <c r="K15" s="4">
        <f t="shared" si="2"/>
        <v>435</v>
      </c>
    </row>
    <row r="16" spans="1:11" x14ac:dyDescent="0.25">
      <c r="A16" s="7" t="s">
        <v>36</v>
      </c>
      <c r="B16" s="6" t="s">
        <v>38</v>
      </c>
      <c r="C16" s="6">
        <v>49</v>
      </c>
      <c r="D16" s="6">
        <v>17</v>
      </c>
      <c r="E16" s="6">
        <f t="shared" si="3"/>
        <v>35</v>
      </c>
      <c r="F16" s="6">
        <v>31</v>
      </c>
      <c r="G16" s="4">
        <v>40</v>
      </c>
      <c r="H16" s="4">
        <v>60</v>
      </c>
      <c r="I16" s="4">
        <f t="shared" si="0"/>
        <v>1860</v>
      </c>
      <c r="J16" s="4">
        <f t="shared" si="1"/>
        <v>1240</v>
      </c>
      <c r="K16" s="4">
        <f t="shared" si="2"/>
        <v>620</v>
      </c>
    </row>
    <row r="17" spans="1:11" x14ac:dyDescent="0.25">
      <c r="A17" s="7" t="s">
        <v>37</v>
      </c>
      <c r="B17" s="6" t="s">
        <v>38</v>
      </c>
      <c r="C17" s="6">
        <v>44</v>
      </c>
      <c r="D17" s="6">
        <v>10</v>
      </c>
      <c r="E17" s="6">
        <f t="shared" si="3"/>
        <v>27</v>
      </c>
      <c r="F17" s="6">
        <v>27</v>
      </c>
      <c r="G17" s="4">
        <v>65</v>
      </c>
      <c r="H17" s="4">
        <v>80</v>
      </c>
      <c r="I17" s="4">
        <f t="shared" si="0"/>
        <v>2160</v>
      </c>
      <c r="J17" s="4">
        <f t="shared" si="1"/>
        <v>1755</v>
      </c>
      <c r="K17" s="4">
        <f t="shared" si="2"/>
        <v>405</v>
      </c>
    </row>
    <row r="18" spans="1:11" x14ac:dyDescent="0.25">
      <c r="A18" s="7" t="s">
        <v>39</v>
      </c>
      <c r="B18" s="6" t="s">
        <v>40</v>
      </c>
      <c r="C18" s="6">
        <v>50</v>
      </c>
      <c r="D18" s="6">
        <v>28</v>
      </c>
      <c r="E18" s="6">
        <f t="shared" si="3"/>
        <v>51</v>
      </c>
      <c r="F18" s="6">
        <v>27</v>
      </c>
      <c r="G18" s="4">
        <v>80</v>
      </c>
      <c r="H18" s="4">
        <v>100</v>
      </c>
      <c r="I18" s="4">
        <f t="shared" si="0"/>
        <v>2700</v>
      </c>
      <c r="J18" s="4">
        <f t="shared" si="1"/>
        <v>2160</v>
      </c>
      <c r="K18" s="4">
        <f t="shared" si="2"/>
        <v>540</v>
      </c>
    </row>
    <row r="19" spans="1:11" x14ac:dyDescent="0.25">
      <c r="A19" s="7" t="s">
        <v>41</v>
      </c>
      <c r="B19" s="6" t="s">
        <v>40</v>
      </c>
      <c r="C19" s="6">
        <v>51</v>
      </c>
      <c r="D19" s="6">
        <v>26</v>
      </c>
      <c r="E19" s="6">
        <f t="shared" si="3"/>
        <v>45</v>
      </c>
      <c r="F19" s="6">
        <v>32</v>
      </c>
      <c r="G19" s="4">
        <v>35</v>
      </c>
      <c r="H19" s="4">
        <v>50</v>
      </c>
      <c r="I19" s="4">
        <f t="shared" si="0"/>
        <v>1600</v>
      </c>
      <c r="J19" s="4">
        <f t="shared" si="1"/>
        <v>1120</v>
      </c>
      <c r="K19" s="4">
        <f t="shared" si="2"/>
        <v>480</v>
      </c>
    </row>
    <row r="20" spans="1:11" x14ac:dyDescent="0.25">
      <c r="A20" s="7" t="s">
        <v>42</v>
      </c>
      <c r="B20" s="6" t="s">
        <v>40</v>
      </c>
      <c r="C20" s="6">
        <v>41</v>
      </c>
      <c r="D20" s="6">
        <v>18</v>
      </c>
      <c r="E20" s="6">
        <f t="shared" si="3"/>
        <v>34</v>
      </c>
      <c r="F20" s="6">
        <v>25</v>
      </c>
      <c r="G20" s="4">
        <v>45</v>
      </c>
      <c r="H20" s="4">
        <v>60</v>
      </c>
      <c r="I20" s="4">
        <f t="shared" si="0"/>
        <v>1500</v>
      </c>
      <c r="J20" s="4">
        <f t="shared" si="1"/>
        <v>1125</v>
      </c>
      <c r="K20" s="4">
        <f t="shared" si="2"/>
        <v>375</v>
      </c>
    </row>
    <row r="21" spans="1:11" x14ac:dyDescent="0.25">
      <c r="A21" s="7" t="s">
        <v>43</v>
      </c>
      <c r="B21" s="6" t="s">
        <v>40</v>
      </c>
      <c r="C21" s="6">
        <v>46</v>
      </c>
      <c r="D21" s="6">
        <v>20</v>
      </c>
      <c r="E21" s="6">
        <f t="shared" si="3"/>
        <v>38</v>
      </c>
      <c r="F21" s="6">
        <v>28</v>
      </c>
      <c r="G21" s="4">
        <v>70</v>
      </c>
      <c r="H21" s="4">
        <v>90</v>
      </c>
      <c r="I21" s="4">
        <f t="shared" si="0"/>
        <v>2520</v>
      </c>
      <c r="J21" s="4">
        <f t="shared" si="1"/>
        <v>1960</v>
      </c>
      <c r="K21" s="4">
        <f t="shared" si="2"/>
        <v>560</v>
      </c>
    </row>
    <row r="22" spans="1:11" x14ac:dyDescent="0.25">
      <c r="A22" s="7" t="s">
        <v>44</v>
      </c>
      <c r="B22" s="6" t="s">
        <v>40</v>
      </c>
      <c r="C22" s="6">
        <v>45</v>
      </c>
      <c r="D22" s="6">
        <v>21</v>
      </c>
      <c r="E22" s="6">
        <f t="shared" si="3"/>
        <v>40</v>
      </c>
      <c r="F22" s="6">
        <v>26</v>
      </c>
      <c r="G22" s="4">
        <v>85</v>
      </c>
      <c r="H22" s="4">
        <v>100</v>
      </c>
      <c r="I22" s="4">
        <f t="shared" si="0"/>
        <v>2600</v>
      </c>
      <c r="J22" s="4">
        <f t="shared" si="1"/>
        <v>2210</v>
      </c>
      <c r="K22" s="4">
        <f t="shared" si="2"/>
        <v>390</v>
      </c>
    </row>
    <row r="23" spans="1:11" x14ac:dyDescent="0.25">
      <c r="A23" s="7" t="s">
        <v>45</v>
      </c>
      <c r="B23" s="6" t="s">
        <v>40</v>
      </c>
      <c r="C23" s="6">
        <v>42</v>
      </c>
      <c r="D23" s="6">
        <v>20</v>
      </c>
      <c r="E23" s="6">
        <f t="shared" si="3"/>
        <v>38</v>
      </c>
      <c r="F23" s="6">
        <v>24</v>
      </c>
      <c r="G23" s="4">
        <v>80</v>
      </c>
      <c r="H23" s="4">
        <v>100</v>
      </c>
      <c r="I23" s="4">
        <f t="shared" si="0"/>
        <v>2400</v>
      </c>
      <c r="J23" s="4">
        <f t="shared" si="1"/>
        <v>1920</v>
      </c>
      <c r="K23" s="4">
        <f t="shared" si="2"/>
        <v>480</v>
      </c>
    </row>
    <row r="24" spans="1:11" x14ac:dyDescent="0.25">
      <c r="A24" s="7" t="s">
        <v>46</v>
      </c>
      <c r="B24" s="6" t="s">
        <v>40</v>
      </c>
      <c r="C24" s="6">
        <v>44</v>
      </c>
      <c r="D24" s="6">
        <v>20</v>
      </c>
      <c r="E24" s="6">
        <f t="shared" si="3"/>
        <v>34</v>
      </c>
      <c r="F24" s="6">
        <v>30</v>
      </c>
      <c r="G24" s="4">
        <v>35</v>
      </c>
      <c r="H24" s="4">
        <v>50</v>
      </c>
      <c r="I24" s="4">
        <f t="shared" si="0"/>
        <v>1500</v>
      </c>
      <c r="J24" s="4">
        <f t="shared" si="1"/>
        <v>1050</v>
      </c>
      <c r="K24" s="4">
        <f t="shared" si="2"/>
        <v>450</v>
      </c>
    </row>
    <row r="25" spans="1:11" x14ac:dyDescent="0.25">
      <c r="A25" s="7" t="s">
        <v>47</v>
      </c>
      <c r="B25" s="6" t="s">
        <v>40</v>
      </c>
      <c r="C25" s="6">
        <v>37</v>
      </c>
      <c r="D25" s="6">
        <v>13</v>
      </c>
      <c r="E25" s="6">
        <f t="shared" si="3"/>
        <v>27</v>
      </c>
      <c r="F25" s="6">
        <v>23</v>
      </c>
      <c r="G25" s="4">
        <v>75</v>
      </c>
      <c r="H25" s="4">
        <v>100</v>
      </c>
      <c r="I25" s="4">
        <f t="shared" si="0"/>
        <v>2300</v>
      </c>
      <c r="J25" s="4">
        <f t="shared" si="1"/>
        <v>1725</v>
      </c>
      <c r="K25" s="4">
        <f t="shared" si="2"/>
        <v>575</v>
      </c>
    </row>
    <row r="26" spans="1:11" x14ac:dyDescent="0.25">
      <c r="A26" s="7" t="s">
        <v>48</v>
      </c>
      <c r="B26" s="6" t="s">
        <v>11</v>
      </c>
      <c r="C26" s="6">
        <v>20</v>
      </c>
      <c r="D26" s="6">
        <v>9</v>
      </c>
      <c r="E26" s="6">
        <f t="shared" si="3"/>
        <v>24</v>
      </c>
      <c r="F26" s="6">
        <v>5</v>
      </c>
      <c r="G26" s="4">
        <v>200</v>
      </c>
      <c r="H26" s="4">
        <v>250</v>
      </c>
      <c r="I26" s="4">
        <f t="shared" si="0"/>
        <v>1250</v>
      </c>
      <c r="J26" s="4">
        <f t="shared" si="1"/>
        <v>1000</v>
      </c>
      <c r="K26" s="4">
        <f t="shared" si="2"/>
        <v>250</v>
      </c>
    </row>
    <row r="27" spans="1:11" x14ac:dyDescent="0.25">
      <c r="A27" s="7" t="s">
        <v>49</v>
      </c>
      <c r="B27" s="6" t="s">
        <v>11</v>
      </c>
      <c r="C27" s="6">
        <v>12</v>
      </c>
      <c r="D27" s="6">
        <v>10</v>
      </c>
      <c r="E27" s="6">
        <f t="shared" si="3"/>
        <v>15</v>
      </c>
      <c r="F27" s="6">
        <v>7</v>
      </c>
      <c r="G27" s="4">
        <v>175</v>
      </c>
      <c r="H27" s="4">
        <v>200</v>
      </c>
      <c r="I27" s="4">
        <f t="shared" si="0"/>
        <v>1400</v>
      </c>
      <c r="J27" s="4">
        <f t="shared" si="1"/>
        <v>1225</v>
      </c>
      <c r="K27" s="4">
        <f t="shared" si="2"/>
        <v>175</v>
      </c>
    </row>
    <row r="28" spans="1:11" x14ac:dyDescent="0.25">
      <c r="A28" s="7" t="s">
        <v>50</v>
      </c>
      <c r="B28" s="6" t="s">
        <v>11</v>
      </c>
      <c r="C28" s="6">
        <v>13</v>
      </c>
      <c r="D28" s="6">
        <v>10</v>
      </c>
      <c r="E28" s="6">
        <f t="shared" si="3"/>
        <v>19</v>
      </c>
      <c r="F28" s="6">
        <v>4</v>
      </c>
      <c r="G28" s="4">
        <v>130</v>
      </c>
      <c r="H28" s="4">
        <v>155</v>
      </c>
      <c r="I28" s="4">
        <f t="shared" si="0"/>
        <v>620</v>
      </c>
      <c r="J28" s="4">
        <f t="shared" si="1"/>
        <v>520</v>
      </c>
      <c r="K28" s="4">
        <f t="shared" si="2"/>
        <v>100</v>
      </c>
    </row>
    <row r="29" spans="1:11" x14ac:dyDescent="0.25">
      <c r="A29" s="7" t="s">
        <v>51</v>
      </c>
      <c r="B29" s="6" t="s">
        <v>12</v>
      </c>
      <c r="C29" s="6">
        <v>27</v>
      </c>
      <c r="D29" s="6">
        <v>20</v>
      </c>
      <c r="E29" s="6">
        <f t="shared" si="3"/>
        <v>35</v>
      </c>
      <c r="F29" s="6">
        <v>12</v>
      </c>
      <c r="G29" s="4">
        <v>7</v>
      </c>
      <c r="H29" s="4">
        <v>12</v>
      </c>
      <c r="I29" s="4">
        <f t="shared" si="0"/>
        <v>144</v>
      </c>
      <c r="J29" s="4">
        <f t="shared" si="1"/>
        <v>84</v>
      </c>
      <c r="K29" s="4">
        <f t="shared" si="2"/>
        <v>60</v>
      </c>
    </row>
    <row r="30" spans="1:11" x14ac:dyDescent="0.25">
      <c r="A30" s="7" t="s">
        <v>52</v>
      </c>
      <c r="B30" s="6" t="s">
        <v>12</v>
      </c>
      <c r="C30" s="6">
        <v>22</v>
      </c>
      <c r="D30" s="6">
        <v>26</v>
      </c>
      <c r="E30" s="6">
        <f t="shared" si="3"/>
        <v>36</v>
      </c>
      <c r="F30" s="6">
        <v>12</v>
      </c>
      <c r="G30" s="4">
        <v>5</v>
      </c>
      <c r="H30" s="4">
        <v>10</v>
      </c>
      <c r="I30" s="4">
        <f t="shared" si="0"/>
        <v>120</v>
      </c>
      <c r="J30" s="4">
        <f t="shared" si="1"/>
        <v>60</v>
      </c>
      <c r="K30" s="4">
        <f t="shared" si="2"/>
        <v>60</v>
      </c>
    </row>
    <row r="31" spans="1:11" x14ac:dyDescent="0.25">
      <c r="A31" s="7" t="s">
        <v>53</v>
      </c>
      <c r="B31" s="6" t="s">
        <v>57</v>
      </c>
      <c r="C31" s="6">
        <v>42</v>
      </c>
      <c r="D31" s="6">
        <v>24</v>
      </c>
      <c r="E31" s="6">
        <f t="shared" si="3"/>
        <v>47</v>
      </c>
      <c r="F31" s="6">
        <v>19</v>
      </c>
      <c r="G31" s="4">
        <v>45</v>
      </c>
      <c r="H31" s="4">
        <v>60</v>
      </c>
      <c r="I31" s="4">
        <f t="shared" si="0"/>
        <v>1140</v>
      </c>
      <c r="J31" s="4">
        <f t="shared" si="1"/>
        <v>855</v>
      </c>
      <c r="K31" s="4">
        <f t="shared" si="2"/>
        <v>285</v>
      </c>
    </row>
    <row r="32" spans="1:11" x14ac:dyDescent="0.25">
      <c r="A32" s="7" t="s">
        <v>54</v>
      </c>
      <c r="B32" s="6" t="s">
        <v>57</v>
      </c>
      <c r="C32" s="6">
        <v>33</v>
      </c>
      <c r="D32" s="6">
        <v>25</v>
      </c>
      <c r="E32" s="6">
        <f t="shared" si="3"/>
        <v>42</v>
      </c>
      <c r="F32" s="6">
        <v>16</v>
      </c>
      <c r="G32" s="4">
        <v>65</v>
      </c>
      <c r="H32" s="4">
        <v>80</v>
      </c>
      <c r="I32" s="4">
        <f t="shared" si="0"/>
        <v>1280</v>
      </c>
      <c r="J32" s="4">
        <f t="shared" si="1"/>
        <v>1040</v>
      </c>
      <c r="K32" s="4">
        <f t="shared" si="2"/>
        <v>240</v>
      </c>
    </row>
    <row r="33" spans="1:11" x14ac:dyDescent="0.25">
      <c r="A33" s="7" t="s">
        <v>55</v>
      </c>
      <c r="B33" s="6" t="s">
        <v>57</v>
      </c>
      <c r="C33" s="6">
        <v>44</v>
      </c>
      <c r="D33" s="6">
        <v>20</v>
      </c>
      <c r="E33" s="6">
        <f t="shared" si="3"/>
        <v>42</v>
      </c>
      <c r="F33" s="6">
        <v>22</v>
      </c>
      <c r="G33" s="4">
        <v>25</v>
      </c>
      <c r="H33" s="4">
        <v>40</v>
      </c>
      <c r="I33" s="4">
        <f t="shared" si="0"/>
        <v>880</v>
      </c>
      <c r="J33" s="4">
        <f t="shared" si="1"/>
        <v>550</v>
      </c>
      <c r="K33" s="4">
        <f t="shared" si="2"/>
        <v>330</v>
      </c>
    </row>
    <row r="34" spans="1:11" x14ac:dyDescent="0.25">
      <c r="A34" s="7" t="s">
        <v>56</v>
      </c>
      <c r="B34" s="6" t="s">
        <v>57</v>
      </c>
      <c r="C34" s="6">
        <v>47</v>
      </c>
      <c r="D34" s="6">
        <v>20</v>
      </c>
      <c r="E34" s="6">
        <f t="shared" si="3"/>
        <v>44</v>
      </c>
      <c r="F34" s="6">
        <v>23</v>
      </c>
      <c r="G34" s="4">
        <v>20</v>
      </c>
      <c r="H34" s="4">
        <v>25</v>
      </c>
      <c r="I34" s="4">
        <f t="shared" si="0"/>
        <v>575</v>
      </c>
      <c r="J34" s="4">
        <f t="shared" si="1"/>
        <v>460</v>
      </c>
      <c r="K34" s="4">
        <f t="shared" si="2"/>
        <v>115</v>
      </c>
    </row>
    <row r="35" spans="1:11" x14ac:dyDescent="0.25">
      <c r="A35" s="7" t="s">
        <v>58</v>
      </c>
      <c r="B35" s="6" t="s">
        <v>13</v>
      </c>
      <c r="C35" s="6">
        <v>22</v>
      </c>
      <c r="D35" s="6">
        <v>0</v>
      </c>
      <c r="E35" s="6">
        <f t="shared" si="3"/>
        <v>11</v>
      </c>
      <c r="F35" s="6">
        <v>11</v>
      </c>
      <c r="G35" s="4">
        <v>135</v>
      </c>
      <c r="H35" s="4">
        <v>170</v>
      </c>
      <c r="I35" s="4">
        <f t="shared" si="0"/>
        <v>1870</v>
      </c>
      <c r="J35" s="4">
        <f t="shared" si="1"/>
        <v>1485</v>
      </c>
      <c r="K35" s="4">
        <f t="shared" si="2"/>
        <v>385</v>
      </c>
    </row>
    <row r="36" spans="1:11" x14ac:dyDescent="0.25">
      <c r="A36" s="7" t="s">
        <v>59</v>
      </c>
      <c r="B36" s="6" t="s">
        <v>13</v>
      </c>
      <c r="C36" s="6">
        <v>13</v>
      </c>
      <c r="D36" s="6">
        <v>5</v>
      </c>
      <c r="E36" s="6">
        <f t="shared" si="3"/>
        <v>11</v>
      </c>
      <c r="F36" s="6">
        <v>7</v>
      </c>
      <c r="G36" s="4">
        <v>300</v>
      </c>
      <c r="H36" s="4">
        <v>360</v>
      </c>
      <c r="I36" s="4">
        <f t="shared" si="0"/>
        <v>2520</v>
      </c>
      <c r="J36" s="4">
        <f t="shared" si="1"/>
        <v>2100</v>
      </c>
      <c r="K36" s="4">
        <f t="shared" si="2"/>
        <v>420</v>
      </c>
    </row>
    <row r="37" spans="1:11" x14ac:dyDescent="0.25">
      <c r="A37" s="7" t="s">
        <v>60</v>
      </c>
      <c r="B37" s="6" t="s">
        <v>13</v>
      </c>
      <c r="C37" s="6">
        <v>27</v>
      </c>
      <c r="D37" s="6">
        <v>18</v>
      </c>
      <c r="E37" s="6">
        <f t="shared" si="3"/>
        <v>32</v>
      </c>
      <c r="F37" s="6">
        <v>13</v>
      </c>
      <c r="G37" s="4">
        <v>70</v>
      </c>
      <c r="H37" s="4">
        <v>90</v>
      </c>
      <c r="I37" s="4">
        <f t="shared" si="0"/>
        <v>1170</v>
      </c>
      <c r="J37" s="4">
        <f t="shared" si="1"/>
        <v>910</v>
      </c>
      <c r="K37" s="4">
        <f t="shared" si="2"/>
        <v>260</v>
      </c>
    </row>
    <row r="38" spans="1:11" x14ac:dyDescent="0.25">
      <c r="A38" s="7" t="s">
        <v>61</v>
      </c>
      <c r="B38" s="6" t="s">
        <v>13</v>
      </c>
      <c r="C38" s="6">
        <v>17</v>
      </c>
      <c r="D38" s="6">
        <v>10</v>
      </c>
      <c r="E38" s="6">
        <f t="shared" si="3"/>
        <v>18</v>
      </c>
      <c r="F38" s="6">
        <v>9</v>
      </c>
      <c r="G38" s="4">
        <v>65</v>
      </c>
      <c r="H38" s="4">
        <v>100</v>
      </c>
      <c r="I38" s="4">
        <f t="shared" si="0"/>
        <v>900</v>
      </c>
      <c r="J38" s="4">
        <f t="shared" si="1"/>
        <v>585</v>
      </c>
      <c r="K38" s="4">
        <f t="shared" si="2"/>
        <v>315</v>
      </c>
    </row>
    <row r="39" spans="1:11" x14ac:dyDescent="0.25">
      <c r="A39" s="7" t="s">
        <v>62</v>
      </c>
      <c r="B39" s="6" t="s">
        <v>13</v>
      </c>
      <c r="C39" s="6">
        <v>21</v>
      </c>
      <c r="D39" s="6">
        <v>10</v>
      </c>
      <c r="E39" s="6">
        <f t="shared" si="3"/>
        <v>21</v>
      </c>
      <c r="F39" s="6">
        <v>10</v>
      </c>
      <c r="G39" s="4">
        <v>45</v>
      </c>
      <c r="H39" s="4">
        <v>65</v>
      </c>
      <c r="I39" s="4">
        <f t="shared" si="0"/>
        <v>650</v>
      </c>
      <c r="J39" s="4">
        <f t="shared" si="1"/>
        <v>450</v>
      </c>
      <c r="K39" s="4">
        <f t="shared" si="2"/>
        <v>200</v>
      </c>
    </row>
    <row r="40" spans="1:11" x14ac:dyDescent="0.25">
      <c r="A40" s="7" t="s">
        <v>63</v>
      </c>
      <c r="B40" s="6" t="s">
        <v>80</v>
      </c>
      <c r="C40" s="6">
        <v>32</v>
      </c>
      <c r="D40" s="6">
        <v>12</v>
      </c>
      <c r="E40" s="6">
        <f t="shared" si="3"/>
        <v>28</v>
      </c>
      <c r="F40" s="6">
        <v>16</v>
      </c>
      <c r="G40" s="4">
        <v>20</v>
      </c>
      <c r="H40" s="4">
        <v>30</v>
      </c>
      <c r="I40" s="4">
        <f t="shared" si="0"/>
        <v>480</v>
      </c>
      <c r="J40" s="4">
        <f t="shared" si="1"/>
        <v>320</v>
      </c>
      <c r="K40" s="4">
        <f t="shared" si="2"/>
        <v>160</v>
      </c>
    </row>
    <row r="41" spans="1:11" x14ac:dyDescent="0.25">
      <c r="A41" s="7" t="s">
        <v>64</v>
      </c>
      <c r="B41" s="6" t="s">
        <v>80</v>
      </c>
      <c r="C41" s="6">
        <v>27</v>
      </c>
      <c r="D41" s="6">
        <v>10</v>
      </c>
      <c r="E41" s="6">
        <f t="shared" si="3"/>
        <v>23</v>
      </c>
      <c r="F41" s="6">
        <v>14</v>
      </c>
      <c r="G41" s="4">
        <v>12</v>
      </c>
      <c r="H41" s="4">
        <v>20</v>
      </c>
      <c r="I41" s="4">
        <f t="shared" si="0"/>
        <v>280</v>
      </c>
      <c r="J41" s="4">
        <f t="shared" si="1"/>
        <v>168</v>
      </c>
      <c r="K41" s="4">
        <f t="shared" si="2"/>
        <v>112</v>
      </c>
    </row>
    <row r="42" spans="1:11" x14ac:dyDescent="0.25">
      <c r="A42" s="7" t="s">
        <v>65</v>
      </c>
      <c r="B42" s="6" t="s">
        <v>14</v>
      </c>
      <c r="C42" s="6">
        <v>23</v>
      </c>
      <c r="D42" s="6">
        <v>0</v>
      </c>
      <c r="E42" s="6">
        <f t="shared" si="3"/>
        <v>15</v>
      </c>
      <c r="F42" s="6">
        <v>8</v>
      </c>
      <c r="G42" s="4">
        <v>55</v>
      </c>
      <c r="H42" s="4">
        <v>80</v>
      </c>
      <c r="I42" s="4">
        <f t="shared" si="0"/>
        <v>640</v>
      </c>
      <c r="J42" s="4">
        <f t="shared" si="1"/>
        <v>440</v>
      </c>
      <c r="K42" s="4">
        <f t="shared" si="2"/>
        <v>200</v>
      </c>
    </row>
    <row r="43" spans="1:11" x14ac:dyDescent="0.25">
      <c r="A43" s="7" t="s">
        <v>66</v>
      </c>
      <c r="B43" s="6" t="s">
        <v>14</v>
      </c>
      <c r="C43" s="6">
        <v>36</v>
      </c>
      <c r="D43" s="6">
        <v>25</v>
      </c>
      <c r="E43" s="6">
        <f t="shared" si="3"/>
        <v>39</v>
      </c>
      <c r="F43" s="6">
        <v>22</v>
      </c>
      <c r="G43" s="4">
        <v>7</v>
      </c>
      <c r="H43" s="4">
        <v>20</v>
      </c>
      <c r="I43" s="4">
        <f t="shared" si="0"/>
        <v>440</v>
      </c>
      <c r="J43" s="4">
        <f t="shared" si="1"/>
        <v>154</v>
      </c>
      <c r="K43" s="4">
        <f t="shared" si="2"/>
        <v>286</v>
      </c>
    </row>
    <row r="44" spans="1:11" x14ac:dyDescent="0.25">
      <c r="A44" s="7" t="s">
        <v>67</v>
      </c>
      <c r="B44" s="6" t="s">
        <v>15</v>
      </c>
      <c r="C44" s="6">
        <v>26</v>
      </c>
      <c r="D44" s="6">
        <v>12</v>
      </c>
      <c r="E44" s="6">
        <f t="shared" si="3"/>
        <v>26</v>
      </c>
      <c r="F44" s="6">
        <v>12</v>
      </c>
      <c r="G44" s="4">
        <v>35</v>
      </c>
      <c r="H44" s="4">
        <v>60</v>
      </c>
      <c r="I44" s="4">
        <f t="shared" si="0"/>
        <v>720</v>
      </c>
      <c r="J44" s="4">
        <f t="shared" si="1"/>
        <v>420</v>
      </c>
      <c r="K44" s="4">
        <f t="shared" si="2"/>
        <v>300</v>
      </c>
    </row>
    <row r="45" spans="1:11" x14ac:dyDescent="0.25">
      <c r="A45" s="7" t="s">
        <v>90</v>
      </c>
      <c r="B45" s="6" t="s">
        <v>15</v>
      </c>
      <c r="C45" s="6">
        <v>11</v>
      </c>
      <c r="D45" s="6">
        <v>7</v>
      </c>
      <c r="E45" s="6">
        <f t="shared" si="3"/>
        <v>12</v>
      </c>
      <c r="F45" s="6">
        <v>6</v>
      </c>
      <c r="G45" s="4">
        <v>185</v>
      </c>
      <c r="H45" s="4">
        <v>230</v>
      </c>
      <c r="I45" s="4">
        <f t="shared" si="0"/>
        <v>1380</v>
      </c>
      <c r="J45" s="4">
        <f t="shared" si="1"/>
        <v>1110</v>
      </c>
      <c r="K45" s="4">
        <f t="shared" si="2"/>
        <v>270</v>
      </c>
    </row>
    <row r="46" spans="1:11" x14ac:dyDescent="0.25">
      <c r="A46" s="7" t="s">
        <v>91</v>
      </c>
      <c r="B46" s="6" t="s">
        <v>15</v>
      </c>
      <c r="C46" s="6">
        <v>17</v>
      </c>
      <c r="D46" s="6">
        <v>10</v>
      </c>
      <c r="E46" s="6">
        <f t="shared" si="3"/>
        <v>19</v>
      </c>
      <c r="F46" s="6">
        <v>8</v>
      </c>
      <c r="G46" s="4">
        <v>140</v>
      </c>
      <c r="H46" s="4">
        <v>165</v>
      </c>
      <c r="I46" s="4">
        <f t="shared" si="0"/>
        <v>1320</v>
      </c>
      <c r="J46" s="4">
        <f t="shared" si="1"/>
        <v>1120</v>
      </c>
      <c r="K46" s="4">
        <f t="shared" si="2"/>
        <v>200</v>
      </c>
    </row>
    <row r="47" spans="1:11" x14ac:dyDescent="0.25">
      <c r="A47" s="7" t="s">
        <v>68</v>
      </c>
      <c r="B47" s="6" t="s">
        <v>81</v>
      </c>
      <c r="C47" s="6">
        <v>32</v>
      </c>
      <c r="D47" s="6">
        <v>15</v>
      </c>
      <c r="E47" s="6">
        <f t="shared" si="3"/>
        <v>38</v>
      </c>
      <c r="F47" s="6">
        <v>9</v>
      </c>
      <c r="G47" s="4">
        <v>120</v>
      </c>
      <c r="H47" s="4">
        <v>155</v>
      </c>
      <c r="I47" s="4">
        <f t="shared" si="0"/>
        <v>1395</v>
      </c>
      <c r="J47" s="4">
        <f t="shared" si="1"/>
        <v>1080</v>
      </c>
      <c r="K47" s="4">
        <f t="shared" si="2"/>
        <v>315</v>
      </c>
    </row>
    <row r="48" spans="1:11" x14ac:dyDescent="0.25">
      <c r="A48" s="7" t="s">
        <v>69</v>
      </c>
      <c r="B48" s="6" t="s">
        <v>81</v>
      </c>
      <c r="C48" s="6">
        <v>28</v>
      </c>
      <c r="D48" s="6">
        <v>17</v>
      </c>
      <c r="E48" s="6">
        <f t="shared" si="3"/>
        <v>30</v>
      </c>
      <c r="F48" s="6">
        <v>15</v>
      </c>
      <c r="G48" s="4">
        <v>25</v>
      </c>
      <c r="H48" s="4">
        <v>50</v>
      </c>
      <c r="I48" s="4">
        <f t="shared" si="0"/>
        <v>750</v>
      </c>
      <c r="J48" s="4">
        <f t="shared" si="1"/>
        <v>375</v>
      </c>
      <c r="K48" s="4">
        <f t="shared" si="2"/>
        <v>375</v>
      </c>
    </row>
    <row r="49" spans="1:11" x14ac:dyDescent="0.25">
      <c r="A49" s="7" t="s">
        <v>70</v>
      </c>
      <c r="B49" s="6" t="s">
        <v>81</v>
      </c>
      <c r="C49" s="6">
        <v>19</v>
      </c>
      <c r="D49" s="6">
        <v>15</v>
      </c>
      <c r="E49" s="6">
        <f t="shared" si="3"/>
        <v>24</v>
      </c>
      <c r="F49" s="6">
        <v>10</v>
      </c>
      <c r="G49" s="4">
        <v>105</v>
      </c>
      <c r="H49" s="4">
        <v>140</v>
      </c>
      <c r="I49" s="4">
        <f t="shared" si="0"/>
        <v>1400</v>
      </c>
      <c r="J49" s="4">
        <f t="shared" si="1"/>
        <v>1050</v>
      </c>
      <c r="K49" s="4">
        <f t="shared" si="2"/>
        <v>350</v>
      </c>
    </row>
    <row r="50" spans="1:11" x14ac:dyDescent="0.25">
      <c r="A50" s="7" t="s">
        <v>71</v>
      </c>
      <c r="B50" s="6" t="s">
        <v>17</v>
      </c>
      <c r="C50" s="6">
        <v>34</v>
      </c>
      <c r="D50" s="6">
        <v>22</v>
      </c>
      <c r="E50" s="6">
        <f t="shared" si="3"/>
        <v>39</v>
      </c>
      <c r="F50" s="6">
        <v>17</v>
      </c>
      <c r="G50" s="4">
        <v>10</v>
      </c>
      <c r="H50" s="4">
        <v>20</v>
      </c>
      <c r="I50" s="4">
        <f t="shared" si="0"/>
        <v>340</v>
      </c>
      <c r="J50" s="4">
        <f t="shared" si="1"/>
        <v>170</v>
      </c>
      <c r="K50" s="4">
        <f t="shared" si="2"/>
        <v>170</v>
      </c>
    </row>
    <row r="51" spans="1:11" x14ac:dyDescent="0.25">
      <c r="A51" s="7" t="s">
        <v>72</v>
      </c>
      <c r="B51" s="6" t="s">
        <v>17</v>
      </c>
      <c r="C51" s="6">
        <v>22</v>
      </c>
      <c r="D51" s="6">
        <v>15</v>
      </c>
      <c r="E51" s="6">
        <f t="shared" si="3"/>
        <v>24</v>
      </c>
      <c r="F51" s="6">
        <v>13</v>
      </c>
      <c r="G51" s="4">
        <v>8</v>
      </c>
      <c r="H51" s="4">
        <v>15</v>
      </c>
      <c r="I51" s="4">
        <f t="shared" si="0"/>
        <v>195</v>
      </c>
      <c r="J51" s="4">
        <f t="shared" si="1"/>
        <v>104</v>
      </c>
      <c r="K51" s="4">
        <f t="shared" si="2"/>
        <v>91</v>
      </c>
    </row>
    <row r="52" spans="1:11" x14ac:dyDescent="0.25">
      <c r="A52" s="7" t="s">
        <v>73</v>
      </c>
      <c r="B52" s="6" t="s">
        <v>17</v>
      </c>
      <c r="C52" s="6">
        <v>27</v>
      </c>
      <c r="D52" s="6">
        <v>15</v>
      </c>
      <c r="E52" s="6">
        <f t="shared" si="3"/>
        <v>27</v>
      </c>
      <c r="F52" s="6">
        <v>15</v>
      </c>
      <c r="G52" s="4">
        <v>12</v>
      </c>
      <c r="H52" s="4">
        <v>20</v>
      </c>
      <c r="I52" s="4">
        <f t="shared" si="0"/>
        <v>300</v>
      </c>
      <c r="J52" s="4">
        <f t="shared" si="1"/>
        <v>180</v>
      </c>
      <c r="K52" s="4">
        <f t="shared" si="2"/>
        <v>120</v>
      </c>
    </row>
    <row r="53" spans="1:11" x14ac:dyDescent="0.25">
      <c r="A53" s="7" t="s">
        <v>92</v>
      </c>
      <c r="B53" s="6" t="s">
        <v>17</v>
      </c>
      <c r="C53" s="6">
        <v>28</v>
      </c>
      <c r="D53" s="6">
        <v>15</v>
      </c>
      <c r="E53" s="6">
        <f t="shared" si="3"/>
        <v>29</v>
      </c>
      <c r="F53" s="6">
        <v>14</v>
      </c>
      <c r="G53" s="4">
        <v>12</v>
      </c>
      <c r="H53" s="4">
        <v>20</v>
      </c>
      <c r="I53" s="4">
        <f t="shared" si="0"/>
        <v>280</v>
      </c>
      <c r="J53" s="4">
        <f t="shared" si="1"/>
        <v>168</v>
      </c>
      <c r="K53" s="4">
        <f t="shared" si="2"/>
        <v>112</v>
      </c>
    </row>
    <row r="54" spans="1:11" x14ac:dyDescent="0.25">
      <c r="A54" s="7" t="s">
        <v>74</v>
      </c>
      <c r="B54" s="6" t="s">
        <v>82</v>
      </c>
      <c r="C54" s="6">
        <v>17</v>
      </c>
      <c r="D54" s="6">
        <v>8</v>
      </c>
      <c r="E54" s="6">
        <f t="shared" si="3"/>
        <v>17</v>
      </c>
      <c r="F54" s="6">
        <v>8</v>
      </c>
      <c r="G54" s="4">
        <v>140</v>
      </c>
      <c r="H54" s="4">
        <v>185</v>
      </c>
      <c r="I54" s="4">
        <f t="shared" si="0"/>
        <v>1480</v>
      </c>
      <c r="J54" s="4">
        <f t="shared" si="1"/>
        <v>1120</v>
      </c>
      <c r="K54" s="4">
        <f t="shared" si="2"/>
        <v>360</v>
      </c>
    </row>
    <row r="55" spans="1:11" x14ac:dyDescent="0.25">
      <c r="A55" s="7" t="s">
        <v>75</v>
      </c>
      <c r="B55" s="6" t="s">
        <v>82</v>
      </c>
      <c r="C55" s="6">
        <v>20</v>
      </c>
      <c r="D55" s="6">
        <v>13</v>
      </c>
      <c r="E55" s="6">
        <f t="shared" si="3"/>
        <v>24</v>
      </c>
      <c r="F55" s="6">
        <v>9</v>
      </c>
      <c r="G55" s="4">
        <v>140</v>
      </c>
      <c r="H55" s="4">
        <v>170</v>
      </c>
      <c r="I55" s="4">
        <f t="shared" si="0"/>
        <v>1530</v>
      </c>
      <c r="J55" s="4">
        <f t="shared" si="1"/>
        <v>1260</v>
      </c>
      <c r="K55" s="4">
        <f t="shared" si="2"/>
        <v>270</v>
      </c>
    </row>
    <row r="56" spans="1:11" x14ac:dyDescent="0.25">
      <c r="A56" s="7" t="s">
        <v>76</v>
      </c>
      <c r="B56" s="6" t="s">
        <v>82</v>
      </c>
      <c r="C56" s="6">
        <v>16</v>
      </c>
      <c r="D56" s="6">
        <v>10</v>
      </c>
      <c r="E56" s="6">
        <f t="shared" si="3"/>
        <v>19</v>
      </c>
      <c r="F56" s="6">
        <v>7</v>
      </c>
      <c r="G56" s="4">
        <v>185</v>
      </c>
      <c r="H56" s="4">
        <v>230</v>
      </c>
      <c r="I56" s="4">
        <f t="shared" si="0"/>
        <v>1610</v>
      </c>
      <c r="J56" s="4">
        <f t="shared" si="1"/>
        <v>1295</v>
      </c>
      <c r="K56" s="4">
        <f t="shared" si="2"/>
        <v>315</v>
      </c>
    </row>
    <row r="57" spans="1:11" x14ac:dyDescent="0.25">
      <c r="A57" s="7" t="s">
        <v>77</v>
      </c>
      <c r="B57" s="6" t="s">
        <v>82</v>
      </c>
      <c r="C57" s="6">
        <v>17</v>
      </c>
      <c r="D57" s="6">
        <v>12</v>
      </c>
      <c r="E57" s="6">
        <f t="shared" si="3"/>
        <v>23</v>
      </c>
      <c r="F57" s="6">
        <v>6</v>
      </c>
      <c r="G57" s="4">
        <v>160</v>
      </c>
      <c r="H57" s="4">
        <v>200</v>
      </c>
      <c r="I57" s="4">
        <f t="shared" si="0"/>
        <v>1200</v>
      </c>
      <c r="J57" s="4">
        <f t="shared" si="1"/>
        <v>960</v>
      </c>
      <c r="K57" s="4">
        <f t="shared" si="2"/>
        <v>240</v>
      </c>
    </row>
    <row r="58" spans="1:11" x14ac:dyDescent="0.25">
      <c r="A58" s="7" t="s">
        <v>78</v>
      </c>
      <c r="B58" s="6" t="s">
        <v>82</v>
      </c>
      <c r="C58" s="6">
        <v>26</v>
      </c>
      <c r="D58" s="6">
        <v>7</v>
      </c>
      <c r="E58" s="6">
        <f t="shared" si="3"/>
        <v>23</v>
      </c>
      <c r="F58" s="6">
        <v>10</v>
      </c>
      <c r="G58" s="4">
        <v>75</v>
      </c>
      <c r="H58" s="4">
        <v>105</v>
      </c>
      <c r="I58" s="4">
        <f t="shared" si="0"/>
        <v>1050</v>
      </c>
      <c r="J58" s="4">
        <f t="shared" si="1"/>
        <v>750</v>
      </c>
      <c r="K58" s="4">
        <f t="shared" si="2"/>
        <v>300</v>
      </c>
    </row>
    <row r="59" spans="1:11" x14ac:dyDescent="0.25">
      <c r="A59" s="7" t="s">
        <v>79</v>
      </c>
      <c r="B59" s="6" t="s">
        <v>82</v>
      </c>
      <c r="C59" s="6">
        <v>29</v>
      </c>
      <c r="D59" s="6">
        <v>8</v>
      </c>
      <c r="E59" s="6">
        <f t="shared" si="3"/>
        <v>25</v>
      </c>
      <c r="F59" s="6">
        <v>12</v>
      </c>
      <c r="G59" s="4">
        <v>40</v>
      </c>
      <c r="H59" s="4">
        <v>60</v>
      </c>
      <c r="I59" s="4">
        <f t="shared" si="0"/>
        <v>720</v>
      </c>
      <c r="J59" s="4">
        <f t="shared" si="1"/>
        <v>480</v>
      </c>
      <c r="K59" s="4">
        <f t="shared" si="2"/>
        <v>240</v>
      </c>
    </row>
    <row r="60" spans="1:11" x14ac:dyDescent="0.25">
      <c r="A60" s="7" t="s">
        <v>83</v>
      </c>
      <c r="B60" s="6" t="s">
        <v>85</v>
      </c>
      <c r="C60" s="6">
        <v>34</v>
      </c>
      <c r="D60" s="6">
        <v>20</v>
      </c>
      <c r="E60" s="6">
        <f t="shared" si="3"/>
        <v>39</v>
      </c>
      <c r="F60" s="6">
        <v>15</v>
      </c>
      <c r="G60" s="4">
        <v>18</v>
      </c>
      <c r="H60" s="4">
        <v>30</v>
      </c>
      <c r="I60" s="4">
        <f t="shared" si="0"/>
        <v>450</v>
      </c>
      <c r="J60" s="4">
        <f t="shared" si="1"/>
        <v>270</v>
      </c>
      <c r="K60" s="4">
        <f t="shared" si="2"/>
        <v>180</v>
      </c>
    </row>
    <row r="61" spans="1:11" x14ac:dyDescent="0.25">
      <c r="A61" s="7" t="s">
        <v>84</v>
      </c>
      <c r="B61" s="6" t="s">
        <v>85</v>
      </c>
      <c r="C61" s="6">
        <v>27</v>
      </c>
      <c r="D61" s="6">
        <v>15</v>
      </c>
      <c r="E61" s="6">
        <f t="shared" si="3"/>
        <v>29</v>
      </c>
      <c r="F61" s="6">
        <v>13</v>
      </c>
      <c r="G61" s="4">
        <v>25</v>
      </c>
      <c r="H61" s="4">
        <v>40</v>
      </c>
      <c r="I61" s="4">
        <f t="shared" si="0"/>
        <v>520</v>
      </c>
      <c r="J61" s="4">
        <f t="shared" si="1"/>
        <v>325</v>
      </c>
      <c r="K61" s="4">
        <f t="shared" si="2"/>
        <v>195</v>
      </c>
    </row>
    <row r="62" spans="1:11" x14ac:dyDescent="0.25">
      <c r="A62" s="7" t="s">
        <v>86</v>
      </c>
      <c r="B62" s="6" t="s">
        <v>85</v>
      </c>
      <c r="C62" s="6">
        <v>24</v>
      </c>
      <c r="D62" s="6">
        <v>19</v>
      </c>
      <c r="E62" s="6">
        <f t="shared" si="3"/>
        <v>32</v>
      </c>
      <c r="F62" s="6">
        <v>11</v>
      </c>
      <c r="G62" s="4">
        <v>10</v>
      </c>
      <c r="H62" s="4">
        <v>15</v>
      </c>
      <c r="I62" s="4">
        <f t="shared" si="0"/>
        <v>165</v>
      </c>
      <c r="J62" s="4">
        <f t="shared" si="1"/>
        <v>110</v>
      </c>
      <c r="K62" s="4">
        <f t="shared" si="2"/>
        <v>55</v>
      </c>
    </row>
    <row r="63" spans="1:11" x14ac:dyDescent="0.25">
      <c r="A63" s="7" t="s">
        <v>88</v>
      </c>
      <c r="B63" s="6" t="s">
        <v>10</v>
      </c>
      <c r="C63" s="6">
        <v>39</v>
      </c>
      <c r="D63" s="6">
        <v>25</v>
      </c>
      <c r="E63" s="6">
        <f t="shared" si="3"/>
        <v>46</v>
      </c>
      <c r="F63" s="6">
        <v>18</v>
      </c>
      <c r="G63" s="4">
        <v>5</v>
      </c>
      <c r="H63" s="4">
        <v>8</v>
      </c>
      <c r="I63" s="4">
        <f t="shared" si="0"/>
        <v>144</v>
      </c>
      <c r="J63" s="4">
        <f t="shared" si="1"/>
        <v>90</v>
      </c>
      <c r="K63" s="4">
        <f t="shared" si="2"/>
        <v>54</v>
      </c>
    </row>
    <row r="64" spans="1:11" x14ac:dyDescent="0.25">
      <c r="A64" s="7" t="s">
        <v>87</v>
      </c>
      <c r="B64" s="6" t="s">
        <v>10</v>
      </c>
      <c r="C64" s="6">
        <v>32</v>
      </c>
      <c r="D64" s="6">
        <v>23</v>
      </c>
      <c r="E64" s="6">
        <f t="shared" si="3"/>
        <v>39</v>
      </c>
      <c r="F64" s="6">
        <v>16</v>
      </c>
      <c r="G64" s="4">
        <v>7</v>
      </c>
      <c r="H64" s="4">
        <v>15</v>
      </c>
      <c r="I64" s="4">
        <f t="shared" si="0"/>
        <v>240</v>
      </c>
      <c r="J64" s="4">
        <f t="shared" si="1"/>
        <v>112</v>
      </c>
      <c r="K64" s="4">
        <f t="shared" si="2"/>
        <v>128</v>
      </c>
    </row>
    <row r="65" spans="1:11" x14ac:dyDescent="0.25">
      <c r="A65" s="7" t="s">
        <v>89</v>
      </c>
      <c r="B65" s="6" t="s">
        <v>10</v>
      </c>
      <c r="C65" s="6">
        <v>41</v>
      </c>
      <c r="D65" s="6">
        <v>24</v>
      </c>
      <c r="E65" s="6">
        <f t="shared" si="3"/>
        <v>45</v>
      </c>
      <c r="F65" s="6">
        <v>20</v>
      </c>
      <c r="G65" s="4">
        <v>2</v>
      </c>
      <c r="H65" s="4">
        <v>5</v>
      </c>
      <c r="I65" s="4">
        <f t="shared" si="0"/>
        <v>100</v>
      </c>
      <c r="J65" s="4">
        <f t="shared" si="1"/>
        <v>40</v>
      </c>
      <c r="K65" s="4">
        <f t="shared" si="2"/>
        <v>60</v>
      </c>
    </row>
    <row r="66" spans="1:11" x14ac:dyDescent="0.25">
      <c r="H66" s="8" t="s">
        <v>93</v>
      </c>
      <c r="I66" s="9"/>
    </row>
  </sheetData>
  <autoFilter ref="A1:K1" xr:uid="{D0689863-5322-4877-8270-E98DAD5167C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64E9-15F1-445D-93BF-028953754D71}">
  <dimension ref="A1:K65"/>
  <sheetViews>
    <sheetView topLeftCell="B30" workbookViewId="0">
      <selection activeCell="F2" sqref="F2:F65"/>
    </sheetView>
  </sheetViews>
  <sheetFormatPr defaultRowHeight="15" x14ac:dyDescent="0.25"/>
  <cols>
    <col min="1" max="1" width="68.42578125" customWidth="1"/>
    <col min="2" max="2" width="27.28515625" customWidth="1"/>
    <col min="3" max="3" width="19.5703125" customWidth="1"/>
    <col min="4" max="4" width="12.42578125" customWidth="1"/>
    <col min="5" max="5" width="12.5703125" bestFit="1" customWidth="1"/>
    <col min="6" max="6" width="16.42578125" customWidth="1"/>
    <col min="7" max="7" width="19" customWidth="1"/>
    <col min="8" max="8" width="16.85546875" customWidth="1"/>
    <col min="9" max="9" width="17.5703125" customWidth="1"/>
    <col min="10" max="10" width="13.140625" customWidth="1"/>
    <col min="11" max="11" width="17.28515625" customWidth="1"/>
  </cols>
  <sheetData>
    <row r="1" spans="1:11" x14ac:dyDescent="0.25">
      <c r="A1" s="5" t="s">
        <v>0</v>
      </c>
      <c r="B1" s="5" t="s">
        <v>18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x14ac:dyDescent="0.25">
      <c r="A2" s="2" t="s">
        <v>22</v>
      </c>
      <c r="B2" s="6" t="s">
        <v>19</v>
      </c>
      <c r="C2" s="6">
        <v>44</v>
      </c>
      <c r="D2" s="6">
        <v>13</v>
      </c>
      <c r="E2" s="6">
        <f>C2+D2-F2</f>
        <v>45</v>
      </c>
      <c r="F2" s="6">
        <v>12</v>
      </c>
      <c r="G2" s="4">
        <v>90</v>
      </c>
      <c r="H2" s="4">
        <v>120</v>
      </c>
      <c r="I2" s="4">
        <f>F2*H2</f>
        <v>1440</v>
      </c>
      <c r="J2" s="4">
        <f>F2*G2</f>
        <v>1080</v>
      </c>
      <c r="K2" s="4">
        <f>I2-J2</f>
        <v>360</v>
      </c>
    </row>
    <row r="3" spans="1:11" x14ac:dyDescent="0.25">
      <c r="A3" s="2" t="s">
        <v>21</v>
      </c>
      <c r="B3" s="6" t="s">
        <v>19</v>
      </c>
      <c r="C3" s="6">
        <v>40</v>
      </c>
      <c r="D3" s="6">
        <v>9</v>
      </c>
      <c r="E3" s="6">
        <f t="shared" ref="E3:E65" si="0">C3+D3-F3</f>
        <v>40</v>
      </c>
      <c r="F3" s="6">
        <v>9</v>
      </c>
      <c r="G3" s="4">
        <v>135</v>
      </c>
      <c r="H3" s="4">
        <v>160</v>
      </c>
      <c r="I3" s="4">
        <f t="shared" ref="I3:I65" si="1">F3*H3</f>
        <v>1440</v>
      </c>
      <c r="J3" s="4">
        <f t="shared" ref="J3:J65" si="2">F3*G3</f>
        <v>1215</v>
      </c>
      <c r="K3" s="4">
        <f t="shared" ref="K3:K65" si="3">I3-J3</f>
        <v>225</v>
      </c>
    </row>
    <row r="4" spans="1:11" x14ac:dyDescent="0.25">
      <c r="A4" s="2" t="s">
        <v>20</v>
      </c>
      <c r="B4" s="6" t="s">
        <v>19</v>
      </c>
      <c r="C4" s="6">
        <v>51</v>
      </c>
      <c r="D4" s="6">
        <v>12</v>
      </c>
      <c r="E4" s="6">
        <f t="shared" si="0"/>
        <v>53</v>
      </c>
      <c r="F4" s="6">
        <v>10</v>
      </c>
      <c r="G4" s="4">
        <v>165</v>
      </c>
      <c r="H4" s="4">
        <v>185</v>
      </c>
      <c r="I4" s="4">
        <f t="shared" si="1"/>
        <v>1850</v>
      </c>
      <c r="J4" s="4">
        <f t="shared" si="2"/>
        <v>1650</v>
      </c>
      <c r="K4" s="4">
        <f t="shared" si="3"/>
        <v>200</v>
      </c>
    </row>
    <row r="5" spans="1:11" x14ac:dyDescent="0.25">
      <c r="A5" s="2" t="s">
        <v>23</v>
      </c>
      <c r="B5" s="6" t="s">
        <v>32</v>
      </c>
      <c r="C5" s="6">
        <v>39</v>
      </c>
      <c r="D5" s="6">
        <v>10</v>
      </c>
      <c r="E5" s="6">
        <f t="shared" si="0"/>
        <v>37</v>
      </c>
      <c r="F5" s="6">
        <v>12</v>
      </c>
      <c r="G5" s="4">
        <v>25</v>
      </c>
      <c r="H5" s="4">
        <v>35</v>
      </c>
      <c r="I5" s="4">
        <f t="shared" si="1"/>
        <v>420</v>
      </c>
      <c r="J5" s="4">
        <f t="shared" si="2"/>
        <v>300</v>
      </c>
      <c r="K5" s="4">
        <f t="shared" si="3"/>
        <v>120</v>
      </c>
    </row>
    <row r="6" spans="1:11" x14ac:dyDescent="0.25">
      <c r="A6" s="2" t="s">
        <v>24</v>
      </c>
      <c r="B6" s="6" t="s">
        <v>32</v>
      </c>
      <c r="C6" s="6">
        <v>44</v>
      </c>
      <c r="D6" s="6">
        <v>15</v>
      </c>
      <c r="E6" s="6">
        <f t="shared" si="0"/>
        <v>46</v>
      </c>
      <c r="F6" s="6">
        <v>13</v>
      </c>
      <c r="G6" s="4">
        <v>30</v>
      </c>
      <c r="H6" s="4">
        <v>55</v>
      </c>
      <c r="I6" s="4">
        <f t="shared" si="1"/>
        <v>715</v>
      </c>
      <c r="J6" s="4">
        <f t="shared" si="2"/>
        <v>390</v>
      </c>
      <c r="K6" s="4">
        <f t="shared" si="3"/>
        <v>325</v>
      </c>
    </row>
    <row r="7" spans="1:11" x14ac:dyDescent="0.25">
      <c r="A7" s="2" t="s">
        <v>25</v>
      </c>
      <c r="B7" s="6" t="s">
        <v>32</v>
      </c>
      <c r="C7" s="6">
        <v>32</v>
      </c>
      <c r="D7" s="6">
        <v>18</v>
      </c>
      <c r="E7" s="6">
        <f t="shared" si="0"/>
        <v>41</v>
      </c>
      <c r="F7" s="6">
        <v>9</v>
      </c>
      <c r="G7" s="4">
        <v>18</v>
      </c>
      <c r="H7" s="4">
        <v>30</v>
      </c>
      <c r="I7" s="4">
        <f t="shared" si="1"/>
        <v>270</v>
      </c>
      <c r="J7" s="4">
        <f t="shared" si="2"/>
        <v>162</v>
      </c>
      <c r="K7" s="4">
        <f t="shared" si="3"/>
        <v>108</v>
      </c>
    </row>
    <row r="8" spans="1:11" x14ac:dyDescent="0.25">
      <c r="A8" s="2" t="s">
        <v>26</v>
      </c>
      <c r="B8" s="6" t="s">
        <v>32</v>
      </c>
      <c r="C8" s="6">
        <v>48</v>
      </c>
      <c r="D8" s="6">
        <v>16</v>
      </c>
      <c r="E8" s="6">
        <f t="shared" si="0"/>
        <v>51</v>
      </c>
      <c r="F8" s="6">
        <v>13</v>
      </c>
      <c r="G8" s="4">
        <v>50</v>
      </c>
      <c r="H8" s="4">
        <v>65</v>
      </c>
      <c r="I8" s="4">
        <f t="shared" si="1"/>
        <v>845</v>
      </c>
      <c r="J8" s="4">
        <f t="shared" si="2"/>
        <v>650</v>
      </c>
      <c r="K8" s="4">
        <f t="shared" si="3"/>
        <v>195</v>
      </c>
    </row>
    <row r="9" spans="1:11" x14ac:dyDescent="0.25">
      <c r="A9" s="2" t="s">
        <v>27</v>
      </c>
      <c r="B9" s="6" t="s">
        <v>33</v>
      </c>
      <c r="C9" s="6">
        <v>35</v>
      </c>
      <c r="D9" s="6">
        <v>11</v>
      </c>
      <c r="E9" s="6">
        <f t="shared" si="0"/>
        <v>39</v>
      </c>
      <c r="F9" s="6">
        <v>7</v>
      </c>
      <c r="G9" s="4">
        <v>35</v>
      </c>
      <c r="H9" s="4">
        <v>50</v>
      </c>
      <c r="I9" s="4">
        <f t="shared" si="1"/>
        <v>350</v>
      </c>
      <c r="J9" s="4">
        <f t="shared" si="2"/>
        <v>245</v>
      </c>
      <c r="K9" s="4">
        <f t="shared" si="3"/>
        <v>105</v>
      </c>
    </row>
    <row r="10" spans="1:11" x14ac:dyDescent="0.25">
      <c r="A10" s="2" t="s">
        <v>28</v>
      </c>
      <c r="B10" s="6" t="s">
        <v>33</v>
      </c>
      <c r="C10" s="6">
        <v>28</v>
      </c>
      <c r="D10" s="6">
        <v>10</v>
      </c>
      <c r="E10" s="6">
        <f t="shared" si="0"/>
        <v>32</v>
      </c>
      <c r="F10" s="6">
        <v>6</v>
      </c>
      <c r="G10" s="4">
        <v>22</v>
      </c>
      <c r="H10" s="4">
        <v>40</v>
      </c>
      <c r="I10" s="4">
        <f t="shared" si="1"/>
        <v>240</v>
      </c>
      <c r="J10" s="4">
        <f t="shared" si="2"/>
        <v>132</v>
      </c>
      <c r="K10" s="4">
        <f t="shared" si="3"/>
        <v>108</v>
      </c>
    </row>
    <row r="11" spans="1:11" x14ac:dyDescent="0.25">
      <c r="A11" s="2" t="s">
        <v>29</v>
      </c>
      <c r="B11" s="6" t="s">
        <v>16</v>
      </c>
      <c r="C11" s="6">
        <v>22</v>
      </c>
      <c r="D11" s="6">
        <v>20</v>
      </c>
      <c r="E11" s="6">
        <f t="shared" si="0"/>
        <v>32</v>
      </c>
      <c r="F11" s="6">
        <v>10</v>
      </c>
      <c r="G11" s="4">
        <v>190</v>
      </c>
      <c r="H11" s="4">
        <v>220</v>
      </c>
      <c r="I11" s="4">
        <f t="shared" si="1"/>
        <v>2200</v>
      </c>
      <c r="J11" s="4">
        <f t="shared" si="2"/>
        <v>1900</v>
      </c>
      <c r="K11" s="4">
        <f t="shared" si="3"/>
        <v>300</v>
      </c>
    </row>
    <row r="12" spans="1:11" x14ac:dyDescent="0.25">
      <c r="A12" s="2" t="s">
        <v>30</v>
      </c>
      <c r="B12" s="6" t="s">
        <v>16</v>
      </c>
      <c r="C12" s="6">
        <v>30</v>
      </c>
      <c r="D12" s="6">
        <v>23</v>
      </c>
      <c r="E12" s="6">
        <f t="shared" si="0"/>
        <v>45</v>
      </c>
      <c r="F12" s="6">
        <v>8</v>
      </c>
      <c r="G12" s="4">
        <v>65</v>
      </c>
      <c r="H12" s="4">
        <v>85</v>
      </c>
      <c r="I12" s="4">
        <f t="shared" si="1"/>
        <v>680</v>
      </c>
      <c r="J12" s="4">
        <f t="shared" si="2"/>
        <v>520</v>
      </c>
      <c r="K12" s="4">
        <f t="shared" si="3"/>
        <v>160</v>
      </c>
    </row>
    <row r="13" spans="1:11" x14ac:dyDescent="0.25">
      <c r="A13" s="2" t="s">
        <v>31</v>
      </c>
      <c r="B13" s="6" t="s">
        <v>16</v>
      </c>
      <c r="C13" s="6">
        <v>20</v>
      </c>
      <c r="D13" s="6">
        <v>17</v>
      </c>
      <c r="E13" s="6">
        <f t="shared" si="0"/>
        <v>32</v>
      </c>
      <c r="F13" s="6">
        <v>5</v>
      </c>
      <c r="G13" s="4">
        <v>30</v>
      </c>
      <c r="H13" s="4">
        <v>42</v>
      </c>
      <c r="I13" s="4">
        <f t="shared" si="1"/>
        <v>210</v>
      </c>
      <c r="J13" s="4">
        <f t="shared" si="2"/>
        <v>150</v>
      </c>
      <c r="K13" s="4">
        <f t="shared" si="3"/>
        <v>60</v>
      </c>
    </row>
    <row r="14" spans="1:11" x14ac:dyDescent="0.25">
      <c r="A14" s="2" t="s">
        <v>34</v>
      </c>
      <c r="B14" s="6" t="s">
        <v>38</v>
      </c>
      <c r="C14" s="6">
        <v>43</v>
      </c>
      <c r="D14" s="6">
        <v>27</v>
      </c>
      <c r="E14" s="6">
        <f t="shared" si="0"/>
        <v>53</v>
      </c>
      <c r="F14" s="6">
        <v>17</v>
      </c>
      <c r="G14" s="4">
        <v>25</v>
      </c>
      <c r="H14" s="4">
        <v>40</v>
      </c>
      <c r="I14" s="4">
        <f t="shared" si="1"/>
        <v>680</v>
      </c>
      <c r="J14" s="4">
        <f t="shared" si="2"/>
        <v>425</v>
      </c>
      <c r="K14" s="4">
        <f t="shared" si="3"/>
        <v>255</v>
      </c>
    </row>
    <row r="15" spans="1:11" x14ac:dyDescent="0.25">
      <c r="A15" s="2" t="s">
        <v>35</v>
      </c>
      <c r="B15" s="6" t="s">
        <v>38</v>
      </c>
      <c r="C15" s="6">
        <v>48</v>
      </c>
      <c r="D15" s="6">
        <v>23</v>
      </c>
      <c r="E15" s="6">
        <f t="shared" si="0"/>
        <v>49</v>
      </c>
      <c r="F15" s="6">
        <v>22</v>
      </c>
      <c r="G15" s="4">
        <v>45</v>
      </c>
      <c r="H15" s="4">
        <v>60</v>
      </c>
      <c r="I15" s="4">
        <f t="shared" si="1"/>
        <v>1320</v>
      </c>
      <c r="J15" s="4">
        <f t="shared" si="2"/>
        <v>990</v>
      </c>
      <c r="K15" s="4">
        <f t="shared" si="3"/>
        <v>330</v>
      </c>
    </row>
    <row r="16" spans="1:11" x14ac:dyDescent="0.25">
      <c r="A16" s="2" t="s">
        <v>36</v>
      </c>
      <c r="B16" s="6" t="s">
        <v>38</v>
      </c>
      <c r="C16" s="6">
        <v>38</v>
      </c>
      <c r="D16" s="6">
        <v>28</v>
      </c>
      <c r="E16" s="6">
        <f t="shared" si="0"/>
        <v>41</v>
      </c>
      <c r="F16" s="6">
        <v>25</v>
      </c>
      <c r="G16" s="4">
        <v>40</v>
      </c>
      <c r="H16" s="4">
        <v>60</v>
      </c>
      <c r="I16" s="4">
        <f t="shared" si="1"/>
        <v>1500</v>
      </c>
      <c r="J16" s="4">
        <f t="shared" si="2"/>
        <v>1000</v>
      </c>
      <c r="K16" s="4">
        <f t="shared" si="3"/>
        <v>500</v>
      </c>
    </row>
    <row r="17" spans="1:11" x14ac:dyDescent="0.25">
      <c r="A17" s="2" t="s">
        <v>37</v>
      </c>
      <c r="B17" s="6" t="s">
        <v>38</v>
      </c>
      <c r="C17" s="6">
        <v>27</v>
      </c>
      <c r="D17" s="6">
        <v>25</v>
      </c>
      <c r="E17" s="6">
        <f t="shared" si="0"/>
        <v>32</v>
      </c>
      <c r="F17" s="6">
        <v>20</v>
      </c>
      <c r="G17" s="4">
        <v>65</v>
      </c>
      <c r="H17" s="4">
        <v>80</v>
      </c>
      <c r="I17" s="4">
        <f t="shared" si="1"/>
        <v>1600</v>
      </c>
      <c r="J17" s="4">
        <f t="shared" si="2"/>
        <v>1300</v>
      </c>
      <c r="K17" s="4">
        <f t="shared" si="3"/>
        <v>300</v>
      </c>
    </row>
    <row r="18" spans="1:11" x14ac:dyDescent="0.25">
      <c r="A18" s="2" t="s">
        <v>39</v>
      </c>
      <c r="B18" s="6" t="s">
        <v>40</v>
      </c>
      <c r="C18" s="6">
        <v>53</v>
      </c>
      <c r="D18" s="6">
        <v>18</v>
      </c>
      <c r="E18" s="6">
        <f t="shared" si="0"/>
        <v>53</v>
      </c>
      <c r="F18" s="6">
        <v>18</v>
      </c>
      <c r="G18" s="4">
        <v>80</v>
      </c>
      <c r="H18" s="4">
        <v>100</v>
      </c>
      <c r="I18" s="4">
        <f t="shared" si="1"/>
        <v>1800</v>
      </c>
      <c r="J18" s="4">
        <f t="shared" si="2"/>
        <v>1440</v>
      </c>
      <c r="K18" s="4">
        <f t="shared" si="3"/>
        <v>360</v>
      </c>
    </row>
    <row r="19" spans="1:11" x14ac:dyDescent="0.25">
      <c r="A19" s="2" t="s">
        <v>41</v>
      </c>
      <c r="B19" s="6" t="s">
        <v>40</v>
      </c>
      <c r="C19" s="6">
        <v>49</v>
      </c>
      <c r="D19" s="6">
        <v>18</v>
      </c>
      <c r="E19" s="6">
        <f t="shared" si="0"/>
        <v>39</v>
      </c>
      <c r="F19" s="6">
        <v>28</v>
      </c>
      <c r="G19" s="4">
        <v>35</v>
      </c>
      <c r="H19" s="4">
        <v>50</v>
      </c>
      <c r="I19" s="4">
        <f t="shared" si="1"/>
        <v>1400</v>
      </c>
      <c r="J19" s="4">
        <f t="shared" si="2"/>
        <v>980</v>
      </c>
      <c r="K19" s="4">
        <f t="shared" si="3"/>
        <v>420</v>
      </c>
    </row>
    <row r="20" spans="1:11" x14ac:dyDescent="0.25">
      <c r="A20" s="2" t="s">
        <v>42</v>
      </c>
      <c r="B20" s="6" t="s">
        <v>40</v>
      </c>
      <c r="C20" s="6">
        <v>36</v>
      </c>
      <c r="D20" s="6">
        <v>24</v>
      </c>
      <c r="E20" s="6">
        <f t="shared" si="0"/>
        <v>43</v>
      </c>
      <c r="F20" s="6">
        <v>17</v>
      </c>
      <c r="G20" s="4">
        <v>45</v>
      </c>
      <c r="H20" s="4">
        <v>60</v>
      </c>
      <c r="I20" s="4">
        <f t="shared" si="1"/>
        <v>1020</v>
      </c>
      <c r="J20" s="4">
        <f t="shared" si="2"/>
        <v>765</v>
      </c>
      <c r="K20" s="4">
        <f t="shared" si="3"/>
        <v>255</v>
      </c>
    </row>
    <row r="21" spans="1:11" x14ac:dyDescent="0.25">
      <c r="A21" s="2" t="s">
        <v>43</v>
      </c>
      <c r="B21" s="6" t="s">
        <v>40</v>
      </c>
      <c r="C21" s="6">
        <v>38</v>
      </c>
      <c r="D21" s="6">
        <v>21</v>
      </c>
      <c r="E21" s="6">
        <f t="shared" si="0"/>
        <v>37</v>
      </c>
      <c r="F21" s="6">
        <v>22</v>
      </c>
      <c r="G21" s="4">
        <v>70</v>
      </c>
      <c r="H21" s="4">
        <v>90</v>
      </c>
      <c r="I21" s="4">
        <f t="shared" si="1"/>
        <v>1980</v>
      </c>
      <c r="J21" s="4">
        <f t="shared" si="2"/>
        <v>1540</v>
      </c>
      <c r="K21" s="4">
        <f t="shared" si="3"/>
        <v>440</v>
      </c>
    </row>
    <row r="22" spans="1:11" x14ac:dyDescent="0.25">
      <c r="A22" s="2" t="s">
        <v>44</v>
      </c>
      <c r="B22" s="6" t="s">
        <v>40</v>
      </c>
      <c r="C22" s="6">
        <v>39</v>
      </c>
      <c r="D22" s="6">
        <v>28</v>
      </c>
      <c r="E22" s="6">
        <f t="shared" si="0"/>
        <v>43</v>
      </c>
      <c r="F22" s="6">
        <v>24</v>
      </c>
      <c r="G22" s="4">
        <v>85</v>
      </c>
      <c r="H22" s="4">
        <v>100</v>
      </c>
      <c r="I22" s="4">
        <f t="shared" si="1"/>
        <v>2400</v>
      </c>
      <c r="J22" s="4">
        <f t="shared" si="2"/>
        <v>2040</v>
      </c>
      <c r="K22" s="4">
        <f t="shared" si="3"/>
        <v>360</v>
      </c>
    </row>
    <row r="23" spans="1:11" x14ac:dyDescent="0.25">
      <c r="A23" s="2" t="s">
        <v>45</v>
      </c>
      <c r="B23" s="6" t="s">
        <v>40</v>
      </c>
      <c r="C23" s="6">
        <v>38</v>
      </c>
      <c r="D23" s="6">
        <v>17</v>
      </c>
      <c r="E23" s="6">
        <f t="shared" si="0"/>
        <v>37</v>
      </c>
      <c r="F23" s="6">
        <v>18</v>
      </c>
      <c r="G23" s="4">
        <v>80</v>
      </c>
      <c r="H23" s="4">
        <v>100</v>
      </c>
      <c r="I23" s="4">
        <f t="shared" si="1"/>
        <v>1800</v>
      </c>
      <c r="J23" s="4">
        <f t="shared" si="2"/>
        <v>1440</v>
      </c>
      <c r="K23" s="4">
        <f t="shared" si="3"/>
        <v>360</v>
      </c>
    </row>
    <row r="24" spans="1:11" x14ac:dyDescent="0.25">
      <c r="A24" s="2" t="s">
        <v>46</v>
      </c>
      <c r="B24" s="6" t="s">
        <v>40</v>
      </c>
      <c r="C24" s="6">
        <v>34</v>
      </c>
      <c r="D24" s="6">
        <v>21</v>
      </c>
      <c r="E24" s="6">
        <f t="shared" si="0"/>
        <v>32</v>
      </c>
      <c r="F24" s="6">
        <v>23</v>
      </c>
      <c r="G24" s="4">
        <v>35</v>
      </c>
      <c r="H24" s="4">
        <v>50</v>
      </c>
      <c r="I24" s="4">
        <f t="shared" si="1"/>
        <v>1150</v>
      </c>
      <c r="J24" s="4">
        <f t="shared" si="2"/>
        <v>805</v>
      </c>
      <c r="K24" s="4">
        <f t="shared" si="3"/>
        <v>345</v>
      </c>
    </row>
    <row r="25" spans="1:11" x14ac:dyDescent="0.25">
      <c r="A25" s="2" t="s">
        <v>47</v>
      </c>
      <c r="B25" s="6" t="s">
        <v>40</v>
      </c>
      <c r="C25" s="6">
        <v>24</v>
      </c>
      <c r="D25" s="6">
        <v>20</v>
      </c>
      <c r="E25" s="6">
        <f t="shared" si="0"/>
        <v>26</v>
      </c>
      <c r="F25" s="6">
        <v>18</v>
      </c>
      <c r="G25" s="4">
        <v>75</v>
      </c>
      <c r="H25" s="4">
        <v>100</v>
      </c>
      <c r="I25" s="4">
        <f t="shared" si="1"/>
        <v>1800</v>
      </c>
      <c r="J25" s="4">
        <f t="shared" si="2"/>
        <v>1350</v>
      </c>
      <c r="K25" s="4">
        <f t="shared" si="3"/>
        <v>450</v>
      </c>
    </row>
    <row r="26" spans="1:11" x14ac:dyDescent="0.25">
      <c r="A26" s="2" t="s">
        <v>48</v>
      </c>
      <c r="B26" s="6" t="s">
        <v>11</v>
      </c>
      <c r="C26" s="6">
        <v>25</v>
      </c>
      <c r="D26" s="6">
        <v>5</v>
      </c>
      <c r="E26" s="6">
        <f t="shared" si="0"/>
        <v>27</v>
      </c>
      <c r="F26" s="6">
        <v>3</v>
      </c>
      <c r="G26" s="4">
        <v>200</v>
      </c>
      <c r="H26" s="4">
        <v>250</v>
      </c>
      <c r="I26" s="4">
        <f t="shared" si="1"/>
        <v>750</v>
      </c>
      <c r="J26" s="4">
        <f t="shared" si="2"/>
        <v>600</v>
      </c>
      <c r="K26" s="4">
        <f t="shared" si="3"/>
        <v>150</v>
      </c>
    </row>
    <row r="27" spans="1:11" x14ac:dyDescent="0.25">
      <c r="A27" s="2" t="s">
        <v>49</v>
      </c>
      <c r="B27" s="6" t="s">
        <v>11</v>
      </c>
      <c r="C27" s="6">
        <v>15</v>
      </c>
      <c r="D27" s="6">
        <v>0</v>
      </c>
      <c r="E27" s="6">
        <f t="shared" si="0"/>
        <v>13</v>
      </c>
      <c r="F27" s="6">
        <v>2</v>
      </c>
      <c r="G27" s="4">
        <v>175</v>
      </c>
      <c r="H27" s="4">
        <v>200</v>
      </c>
      <c r="I27" s="4">
        <f t="shared" si="1"/>
        <v>400</v>
      </c>
      <c r="J27" s="4">
        <f t="shared" si="2"/>
        <v>350</v>
      </c>
      <c r="K27" s="4">
        <f t="shared" si="3"/>
        <v>50</v>
      </c>
    </row>
    <row r="28" spans="1:11" x14ac:dyDescent="0.25">
      <c r="A28" s="2" t="s">
        <v>50</v>
      </c>
      <c r="B28" s="6" t="s">
        <v>11</v>
      </c>
      <c r="C28" s="6">
        <v>19</v>
      </c>
      <c r="D28" s="6">
        <v>0</v>
      </c>
      <c r="E28" s="6">
        <f t="shared" si="0"/>
        <v>16</v>
      </c>
      <c r="F28" s="6">
        <v>3</v>
      </c>
      <c r="G28" s="4">
        <v>130</v>
      </c>
      <c r="H28" s="4">
        <v>155</v>
      </c>
      <c r="I28" s="4">
        <f t="shared" si="1"/>
        <v>465</v>
      </c>
      <c r="J28" s="4">
        <f t="shared" si="2"/>
        <v>390</v>
      </c>
      <c r="K28" s="4">
        <f t="shared" si="3"/>
        <v>75</v>
      </c>
    </row>
    <row r="29" spans="1:11" x14ac:dyDescent="0.25">
      <c r="A29" s="2" t="s">
        <v>51</v>
      </c>
      <c r="B29" s="6" t="s">
        <v>12</v>
      </c>
      <c r="C29" s="6">
        <v>35</v>
      </c>
      <c r="D29" s="6">
        <v>15</v>
      </c>
      <c r="E29" s="6">
        <f t="shared" si="0"/>
        <v>37</v>
      </c>
      <c r="F29" s="6">
        <v>13</v>
      </c>
      <c r="G29" s="4">
        <v>7</v>
      </c>
      <c r="H29" s="4">
        <v>12</v>
      </c>
      <c r="I29" s="4">
        <f t="shared" si="1"/>
        <v>156</v>
      </c>
      <c r="J29" s="4">
        <f t="shared" si="2"/>
        <v>91</v>
      </c>
      <c r="K29" s="4">
        <f t="shared" si="3"/>
        <v>65</v>
      </c>
    </row>
    <row r="30" spans="1:11" x14ac:dyDescent="0.25">
      <c r="A30" s="2" t="s">
        <v>52</v>
      </c>
      <c r="B30" s="6" t="s">
        <v>12</v>
      </c>
      <c r="C30" s="6">
        <v>35</v>
      </c>
      <c r="D30" s="6">
        <v>10</v>
      </c>
      <c r="E30" s="6">
        <f t="shared" si="0"/>
        <v>35</v>
      </c>
      <c r="F30" s="6">
        <v>10</v>
      </c>
      <c r="G30" s="4">
        <v>5</v>
      </c>
      <c r="H30" s="4">
        <v>10</v>
      </c>
      <c r="I30" s="4">
        <f t="shared" si="1"/>
        <v>100</v>
      </c>
      <c r="J30" s="4">
        <f t="shared" si="2"/>
        <v>50</v>
      </c>
      <c r="K30" s="4">
        <f t="shared" si="3"/>
        <v>50</v>
      </c>
    </row>
    <row r="31" spans="1:11" x14ac:dyDescent="0.25">
      <c r="A31" s="2" t="s">
        <v>53</v>
      </c>
      <c r="B31" s="6" t="s">
        <v>57</v>
      </c>
      <c r="C31" s="6">
        <v>48</v>
      </c>
      <c r="D31" s="6">
        <v>20</v>
      </c>
      <c r="E31" s="6">
        <f t="shared" si="0"/>
        <v>52</v>
      </c>
      <c r="F31" s="6">
        <v>16</v>
      </c>
      <c r="G31" s="4">
        <v>45</v>
      </c>
      <c r="H31" s="4">
        <v>60</v>
      </c>
      <c r="I31" s="4">
        <f t="shared" si="1"/>
        <v>960</v>
      </c>
      <c r="J31" s="4">
        <f t="shared" si="2"/>
        <v>720</v>
      </c>
      <c r="K31" s="4">
        <f t="shared" si="3"/>
        <v>240</v>
      </c>
    </row>
    <row r="32" spans="1:11" x14ac:dyDescent="0.25">
      <c r="A32" s="2" t="s">
        <v>54</v>
      </c>
      <c r="B32" s="6" t="s">
        <v>57</v>
      </c>
      <c r="C32" s="6">
        <v>42</v>
      </c>
      <c r="D32" s="6">
        <v>17</v>
      </c>
      <c r="E32" s="6">
        <f t="shared" si="0"/>
        <v>45</v>
      </c>
      <c r="F32" s="6">
        <v>14</v>
      </c>
      <c r="G32" s="4">
        <v>65</v>
      </c>
      <c r="H32" s="4">
        <v>80</v>
      </c>
      <c r="I32" s="4">
        <f t="shared" si="1"/>
        <v>1120</v>
      </c>
      <c r="J32" s="4">
        <f t="shared" si="2"/>
        <v>910</v>
      </c>
      <c r="K32" s="4">
        <f t="shared" si="3"/>
        <v>210</v>
      </c>
    </row>
    <row r="33" spans="1:11" x14ac:dyDescent="0.25">
      <c r="A33" s="2" t="s">
        <v>55</v>
      </c>
      <c r="B33" s="6" t="s">
        <v>57</v>
      </c>
      <c r="C33" s="6">
        <v>42</v>
      </c>
      <c r="D33" s="6">
        <v>0</v>
      </c>
      <c r="E33" s="6">
        <f t="shared" si="0"/>
        <v>25</v>
      </c>
      <c r="F33" s="6">
        <v>17</v>
      </c>
      <c r="G33" s="4">
        <v>25</v>
      </c>
      <c r="H33" s="4">
        <v>40</v>
      </c>
      <c r="I33" s="4">
        <f t="shared" si="1"/>
        <v>680</v>
      </c>
      <c r="J33" s="4">
        <f t="shared" si="2"/>
        <v>425</v>
      </c>
      <c r="K33" s="4">
        <f t="shared" si="3"/>
        <v>255</v>
      </c>
    </row>
    <row r="34" spans="1:11" x14ac:dyDescent="0.25">
      <c r="A34" s="2" t="s">
        <v>56</v>
      </c>
      <c r="B34" s="6" t="s">
        <v>57</v>
      </c>
      <c r="C34" s="6">
        <v>44</v>
      </c>
      <c r="D34" s="6">
        <v>0</v>
      </c>
      <c r="E34" s="6">
        <f t="shared" si="0"/>
        <v>30</v>
      </c>
      <c r="F34" s="6">
        <v>14</v>
      </c>
      <c r="G34" s="4">
        <v>20</v>
      </c>
      <c r="H34" s="4">
        <v>25</v>
      </c>
      <c r="I34" s="4">
        <f t="shared" si="1"/>
        <v>350</v>
      </c>
      <c r="J34" s="4">
        <f t="shared" si="2"/>
        <v>280</v>
      </c>
      <c r="K34" s="4">
        <f t="shared" si="3"/>
        <v>70</v>
      </c>
    </row>
    <row r="35" spans="1:11" x14ac:dyDescent="0.25">
      <c r="A35" s="2" t="s">
        <v>58</v>
      </c>
      <c r="B35" s="6" t="s">
        <v>13</v>
      </c>
      <c r="C35" s="6">
        <v>11</v>
      </c>
      <c r="D35" s="6">
        <v>7</v>
      </c>
      <c r="E35" s="6">
        <f t="shared" si="0"/>
        <v>11</v>
      </c>
      <c r="F35" s="6">
        <v>7</v>
      </c>
      <c r="G35" s="4">
        <v>135</v>
      </c>
      <c r="H35" s="4">
        <v>170</v>
      </c>
      <c r="I35" s="4">
        <f t="shared" si="1"/>
        <v>1190</v>
      </c>
      <c r="J35" s="4">
        <f t="shared" si="2"/>
        <v>945</v>
      </c>
      <c r="K35" s="4">
        <f t="shared" si="3"/>
        <v>245</v>
      </c>
    </row>
    <row r="36" spans="1:11" x14ac:dyDescent="0.25">
      <c r="A36" s="2" t="s">
        <v>59</v>
      </c>
      <c r="B36" s="6" t="s">
        <v>13</v>
      </c>
      <c r="C36" s="6">
        <v>11</v>
      </c>
      <c r="D36" s="6">
        <v>3</v>
      </c>
      <c r="E36" s="6">
        <f t="shared" si="0"/>
        <v>11</v>
      </c>
      <c r="F36" s="6">
        <v>3</v>
      </c>
      <c r="G36" s="4">
        <v>300</v>
      </c>
      <c r="H36" s="4">
        <v>360</v>
      </c>
      <c r="I36" s="4">
        <f t="shared" si="1"/>
        <v>1080</v>
      </c>
      <c r="J36" s="4">
        <f t="shared" si="2"/>
        <v>900</v>
      </c>
      <c r="K36" s="4">
        <f t="shared" si="3"/>
        <v>180</v>
      </c>
    </row>
    <row r="37" spans="1:11" x14ac:dyDescent="0.25">
      <c r="A37" s="2" t="s">
        <v>60</v>
      </c>
      <c r="B37" s="6" t="s">
        <v>13</v>
      </c>
      <c r="C37" s="6">
        <v>29</v>
      </c>
      <c r="D37" s="6">
        <v>5</v>
      </c>
      <c r="E37" s="6">
        <f t="shared" si="0"/>
        <v>29</v>
      </c>
      <c r="F37" s="6">
        <v>5</v>
      </c>
      <c r="G37" s="4">
        <v>70</v>
      </c>
      <c r="H37" s="4">
        <v>90</v>
      </c>
      <c r="I37" s="4">
        <f t="shared" si="1"/>
        <v>450</v>
      </c>
      <c r="J37" s="4">
        <f t="shared" si="2"/>
        <v>350</v>
      </c>
      <c r="K37" s="4">
        <f t="shared" si="3"/>
        <v>100</v>
      </c>
    </row>
    <row r="38" spans="1:11" x14ac:dyDescent="0.25">
      <c r="A38" s="2" t="s">
        <v>61</v>
      </c>
      <c r="B38" s="6" t="s">
        <v>13</v>
      </c>
      <c r="C38" s="6">
        <v>18</v>
      </c>
      <c r="D38" s="6">
        <v>11</v>
      </c>
      <c r="E38" s="6">
        <f t="shared" si="0"/>
        <v>18</v>
      </c>
      <c r="F38" s="6">
        <v>11</v>
      </c>
      <c r="G38" s="4">
        <v>65</v>
      </c>
      <c r="H38" s="4">
        <v>100</v>
      </c>
      <c r="I38" s="4">
        <f t="shared" si="1"/>
        <v>1100</v>
      </c>
      <c r="J38" s="4">
        <f t="shared" si="2"/>
        <v>715</v>
      </c>
      <c r="K38" s="4">
        <f t="shared" si="3"/>
        <v>385</v>
      </c>
    </row>
    <row r="39" spans="1:11" x14ac:dyDescent="0.25">
      <c r="A39" s="2" t="s">
        <v>62</v>
      </c>
      <c r="B39" s="6" t="s">
        <v>13</v>
      </c>
      <c r="C39" s="6">
        <v>21</v>
      </c>
      <c r="D39" s="6">
        <v>9</v>
      </c>
      <c r="E39" s="6">
        <f t="shared" si="0"/>
        <v>21</v>
      </c>
      <c r="F39" s="6">
        <v>9</v>
      </c>
      <c r="G39" s="4">
        <v>45</v>
      </c>
      <c r="H39" s="4">
        <v>65</v>
      </c>
      <c r="I39" s="4">
        <f t="shared" si="1"/>
        <v>585</v>
      </c>
      <c r="J39" s="4">
        <f t="shared" si="2"/>
        <v>405</v>
      </c>
      <c r="K39" s="4">
        <f t="shared" si="3"/>
        <v>180</v>
      </c>
    </row>
    <row r="40" spans="1:11" x14ac:dyDescent="0.25">
      <c r="A40" s="2" t="s">
        <v>63</v>
      </c>
      <c r="B40" s="6" t="s">
        <v>80</v>
      </c>
      <c r="C40" s="6">
        <v>28</v>
      </c>
      <c r="D40" s="6">
        <v>12</v>
      </c>
      <c r="E40" s="6">
        <f t="shared" si="0"/>
        <v>28</v>
      </c>
      <c r="F40" s="6">
        <v>12</v>
      </c>
      <c r="G40" s="4">
        <v>20</v>
      </c>
      <c r="H40" s="4">
        <v>30</v>
      </c>
      <c r="I40" s="4">
        <f t="shared" si="1"/>
        <v>360</v>
      </c>
      <c r="J40" s="4">
        <f t="shared" si="2"/>
        <v>240</v>
      </c>
      <c r="K40" s="4">
        <f t="shared" si="3"/>
        <v>120</v>
      </c>
    </row>
    <row r="41" spans="1:11" x14ac:dyDescent="0.25">
      <c r="A41" s="2" t="s">
        <v>64</v>
      </c>
      <c r="B41" s="6" t="s">
        <v>80</v>
      </c>
      <c r="C41" s="6">
        <v>23</v>
      </c>
      <c r="D41" s="6">
        <v>10</v>
      </c>
      <c r="E41" s="6">
        <f t="shared" si="0"/>
        <v>23</v>
      </c>
      <c r="F41" s="6">
        <v>10</v>
      </c>
      <c r="G41" s="4">
        <v>12</v>
      </c>
      <c r="H41" s="4">
        <v>20</v>
      </c>
      <c r="I41" s="4">
        <f t="shared" si="1"/>
        <v>200</v>
      </c>
      <c r="J41" s="4">
        <f t="shared" si="2"/>
        <v>120</v>
      </c>
      <c r="K41" s="4">
        <f t="shared" si="3"/>
        <v>80</v>
      </c>
    </row>
    <row r="42" spans="1:11" x14ac:dyDescent="0.25">
      <c r="A42" s="2" t="s">
        <v>65</v>
      </c>
      <c r="B42" s="6" t="s">
        <v>14</v>
      </c>
      <c r="C42" s="6">
        <v>15</v>
      </c>
      <c r="D42" s="6">
        <v>0</v>
      </c>
      <c r="E42" s="6">
        <f t="shared" si="0"/>
        <v>13</v>
      </c>
      <c r="F42" s="6">
        <v>2</v>
      </c>
      <c r="G42" s="4">
        <v>55</v>
      </c>
      <c r="H42" s="4">
        <v>80</v>
      </c>
      <c r="I42" s="4">
        <f t="shared" si="1"/>
        <v>160</v>
      </c>
      <c r="J42" s="4">
        <f t="shared" si="2"/>
        <v>110</v>
      </c>
      <c r="K42" s="4">
        <f t="shared" si="3"/>
        <v>50</v>
      </c>
    </row>
    <row r="43" spans="1:11" x14ac:dyDescent="0.25">
      <c r="A43" s="2" t="s">
        <v>66</v>
      </c>
      <c r="B43" s="6" t="s">
        <v>14</v>
      </c>
      <c r="C43" s="6">
        <v>39</v>
      </c>
      <c r="D43" s="6">
        <v>26</v>
      </c>
      <c r="E43" s="6">
        <f t="shared" si="0"/>
        <v>48</v>
      </c>
      <c r="F43" s="6">
        <v>17</v>
      </c>
      <c r="G43" s="4">
        <v>7</v>
      </c>
      <c r="H43" s="4">
        <v>20</v>
      </c>
      <c r="I43" s="4">
        <f t="shared" si="1"/>
        <v>340</v>
      </c>
      <c r="J43" s="4">
        <f t="shared" si="2"/>
        <v>119</v>
      </c>
      <c r="K43" s="4">
        <f t="shared" si="3"/>
        <v>221</v>
      </c>
    </row>
    <row r="44" spans="1:11" x14ac:dyDescent="0.25">
      <c r="A44" s="2" t="s">
        <v>67</v>
      </c>
      <c r="B44" s="6" t="s">
        <v>15</v>
      </c>
      <c r="C44" s="6">
        <v>26</v>
      </c>
      <c r="D44" s="6">
        <v>18</v>
      </c>
      <c r="E44" s="6">
        <f t="shared" si="0"/>
        <v>37</v>
      </c>
      <c r="F44" s="6">
        <v>7</v>
      </c>
      <c r="G44" s="4">
        <v>35</v>
      </c>
      <c r="H44" s="4">
        <v>60</v>
      </c>
      <c r="I44" s="4">
        <f t="shared" si="1"/>
        <v>420</v>
      </c>
      <c r="J44" s="4">
        <f t="shared" si="2"/>
        <v>245</v>
      </c>
      <c r="K44" s="4">
        <f t="shared" si="3"/>
        <v>175</v>
      </c>
    </row>
    <row r="45" spans="1:11" x14ac:dyDescent="0.25">
      <c r="A45" s="2" t="s">
        <v>90</v>
      </c>
      <c r="B45" s="6" t="s">
        <v>15</v>
      </c>
      <c r="C45" s="6">
        <v>12</v>
      </c>
      <c r="D45" s="6">
        <v>22</v>
      </c>
      <c r="E45" s="6">
        <f t="shared" si="0"/>
        <v>32</v>
      </c>
      <c r="F45" s="6">
        <v>2</v>
      </c>
      <c r="G45" s="4">
        <v>185</v>
      </c>
      <c r="H45" s="4">
        <v>230</v>
      </c>
      <c r="I45" s="4">
        <f t="shared" si="1"/>
        <v>460</v>
      </c>
      <c r="J45" s="4">
        <f t="shared" si="2"/>
        <v>370</v>
      </c>
      <c r="K45" s="4">
        <f t="shared" si="3"/>
        <v>90</v>
      </c>
    </row>
    <row r="46" spans="1:11" x14ac:dyDescent="0.25">
      <c r="A46" s="2" t="s">
        <v>91</v>
      </c>
      <c r="B46" s="6" t="s">
        <v>15</v>
      </c>
      <c r="C46" s="6">
        <v>19</v>
      </c>
      <c r="D46" s="6">
        <v>20</v>
      </c>
      <c r="E46" s="6">
        <f t="shared" si="0"/>
        <v>33</v>
      </c>
      <c r="F46" s="6">
        <v>6</v>
      </c>
      <c r="G46" s="4">
        <v>140</v>
      </c>
      <c r="H46" s="4">
        <v>165</v>
      </c>
      <c r="I46" s="4">
        <f t="shared" si="1"/>
        <v>990</v>
      </c>
      <c r="J46" s="4">
        <f t="shared" si="2"/>
        <v>840</v>
      </c>
      <c r="K46" s="4">
        <f t="shared" si="3"/>
        <v>150</v>
      </c>
    </row>
    <row r="47" spans="1:11" x14ac:dyDescent="0.25">
      <c r="A47" s="2" t="s">
        <v>68</v>
      </c>
      <c r="B47" s="6" t="s">
        <v>81</v>
      </c>
      <c r="C47" s="6">
        <v>38</v>
      </c>
      <c r="D47" s="6">
        <v>16</v>
      </c>
      <c r="E47" s="6">
        <f t="shared" si="0"/>
        <v>46</v>
      </c>
      <c r="F47" s="6">
        <v>8</v>
      </c>
      <c r="G47" s="4">
        <v>120</v>
      </c>
      <c r="H47" s="4">
        <v>155</v>
      </c>
      <c r="I47" s="4">
        <f t="shared" si="1"/>
        <v>1240</v>
      </c>
      <c r="J47" s="4">
        <f t="shared" si="2"/>
        <v>960</v>
      </c>
      <c r="K47" s="4">
        <f t="shared" si="3"/>
        <v>280</v>
      </c>
    </row>
    <row r="48" spans="1:11" x14ac:dyDescent="0.25">
      <c r="A48" s="2" t="s">
        <v>69</v>
      </c>
      <c r="B48" s="6" t="s">
        <v>81</v>
      </c>
      <c r="C48" s="6">
        <v>33</v>
      </c>
      <c r="D48" s="6">
        <v>13</v>
      </c>
      <c r="E48" s="6">
        <f t="shared" si="0"/>
        <v>34</v>
      </c>
      <c r="F48" s="6">
        <v>12</v>
      </c>
      <c r="G48" s="4">
        <v>25</v>
      </c>
      <c r="H48" s="4">
        <v>50</v>
      </c>
      <c r="I48" s="4">
        <f t="shared" si="1"/>
        <v>600</v>
      </c>
      <c r="J48" s="4">
        <f t="shared" si="2"/>
        <v>300</v>
      </c>
      <c r="K48" s="4">
        <f t="shared" si="3"/>
        <v>300</v>
      </c>
    </row>
    <row r="49" spans="1:11" x14ac:dyDescent="0.25">
      <c r="A49" s="2" t="s">
        <v>70</v>
      </c>
      <c r="B49" s="6" t="s">
        <v>81</v>
      </c>
      <c r="C49" s="6">
        <v>24</v>
      </c>
      <c r="D49" s="6">
        <v>24</v>
      </c>
      <c r="E49" s="6">
        <f t="shared" si="0"/>
        <v>41</v>
      </c>
      <c r="F49" s="6">
        <v>7</v>
      </c>
      <c r="G49" s="4">
        <v>105</v>
      </c>
      <c r="H49" s="4">
        <v>140</v>
      </c>
      <c r="I49" s="4">
        <f t="shared" si="1"/>
        <v>980</v>
      </c>
      <c r="J49" s="4">
        <f t="shared" si="2"/>
        <v>735</v>
      </c>
      <c r="K49" s="4">
        <f t="shared" si="3"/>
        <v>245</v>
      </c>
    </row>
    <row r="50" spans="1:11" x14ac:dyDescent="0.25">
      <c r="A50" s="2" t="s">
        <v>71</v>
      </c>
      <c r="B50" s="6" t="s">
        <v>17</v>
      </c>
      <c r="C50" s="6">
        <v>37</v>
      </c>
      <c r="D50" s="6">
        <v>20</v>
      </c>
      <c r="E50" s="6">
        <f t="shared" si="0"/>
        <v>45</v>
      </c>
      <c r="F50" s="6">
        <v>12</v>
      </c>
      <c r="G50" s="4">
        <v>10</v>
      </c>
      <c r="H50" s="4">
        <v>20</v>
      </c>
      <c r="I50" s="4">
        <f t="shared" si="1"/>
        <v>240</v>
      </c>
      <c r="J50" s="4">
        <f t="shared" si="2"/>
        <v>120</v>
      </c>
      <c r="K50" s="4">
        <f t="shared" si="3"/>
        <v>120</v>
      </c>
    </row>
    <row r="51" spans="1:11" x14ac:dyDescent="0.25">
      <c r="A51" s="2" t="s">
        <v>72</v>
      </c>
      <c r="B51" s="6" t="s">
        <v>17</v>
      </c>
      <c r="C51" s="6">
        <v>24</v>
      </c>
      <c r="D51" s="6">
        <v>15</v>
      </c>
      <c r="E51" s="6">
        <f t="shared" si="0"/>
        <v>31</v>
      </c>
      <c r="F51" s="6">
        <v>8</v>
      </c>
      <c r="G51" s="4">
        <v>8</v>
      </c>
      <c r="H51" s="4">
        <v>15</v>
      </c>
      <c r="I51" s="4">
        <f t="shared" si="1"/>
        <v>120</v>
      </c>
      <c r="J51" s="4">
        <f t="shared" si="2"/>
        <v>64</v>
      </c>
      <c r="K51" s="4">
        <f t="shared" si="3"/>
        <v>56</v>
      </c>
    </row>
    <row r="52" spans="1:11" x14ac:dyDescent="0.25">
      <c r="A52" s="2" t="s">
        <v>73</v>
      </c>
      <c r="B52" s="6" t="s">
        <v>17</v>
      </c>
      <c r="C52" s="6">
        <v>27</v>
      </c>
      <c r="D52" s="6">
        <v>14</v>
      </c>
      <c r="E52" s="6">
        <f t="shared" si="0"/>
        <v>28</v>
      </c>
      <c r="F52" s="6">
        <v>13</v>
      </c>
      <c r="G52" s="4">
        <v>12</v>
      </c>
      <c r="H52" s="4">
        <v>20</v>
      </c>
      <c r="I52" s="4">
        <f t="shared" si="1"/>
        <v>260</v>
      </c>
      <c r="J52" s="4">
        <f t="shared" si="2"/>
        <v>156</v>
      </c>
      <c r="K52" s="4">
        <f t="shared" si="3"/>
        <v>104</v>
      </c>
    </row>
    <row r="53" spans="1:11" x14ac:dyDescent="0.25">
      <c r="A53" s="2" t="s">
        <v>92</v>
      </c>
      <c r="B53" s="6" t="s">
        <v>17</v>
      </c>
      <c r="C53" s="6">
        <v>29</v>
      </c>
      <c r="D53" s="6">
        <v>15</v>
      </c>
      <c r="E53" s="6">
        <f t="shared" si="0"/>
        <v>35</v>
      </c>
      <c r="F53" s="6">
        <v>9</v>
      </c>
      <c r="G53" s="4">
        <v>12</v>
      </c>
      <c r="H53" s="4">
        <v>20</v>
      </c>
      <c r="I53" s="4">
        <f t="shared" si="1"/>
        <v>180</v>
      </c>
      <c r="J53" s="4">
        <f t="shared" si="2"/>
        <v>108</v>
      </c>
      <c r="K53" s="4">
        <f t="shared" si="3"/>
        <v>72</v>
      </c>
    </row>
    <row r="54" spans="1:11" x14ac:dyDescent="0.25">
      <c r="A54" s="2" t="s">
        <v>74</v>
      </c>
      <c r="B54" s="6" t="s">
        <v>82</v>
      </c>
      <c r="C54" s="6">
        <v>19</v>
      </c>
      <c r="D54" s="6">
        <v>17</v>
      </c>
      <c r="E54" s="6">
        <f t="shared" si="0"/>
        <v>33</v>
      </c>
      <c r="F54" s="6">
        <v>3</v>
      </c>
      <c r="G54" s="4">
        <v>140</v>
      </c>
      <c r="H54" s="4">
        <v>185</v>
      </c>
      <c r="I54" s="4">
        <f t="shared" si="1"/>
        <v>555</v>
      </c>
      <c r="J54" s="4">
        <f t="shared" si="2"/>
        <v>420</v>
      </c>
      <c r="K54" s="4">
        <f t="shared" si="3"/>
        <v>135</v>
      </c>
    </row>
    <row r="55" spans="1:11" x14ac:dyDescent="0.25">
      <c r="A55" s="2" t="s">
        <v>75</v>
      </c>
      <c r="B55" s="6" t="s">
        <v>82</v>
      </c>
      <c r="C55" s="6">
        <v>26</v>
      </c>
      <c r="D55" s="6">
        <v>18</v>
      </c>
      <c r="E55" s="6">
        <f t="shared" si="0"/>
        <v>40</v>
      </c>
      <c r="F55" s="6">
        <v>4</v>
      </c>
      <c r="G55" s="4">
        <v>140</v>
      </c>
      <c r="H55" s="4">
        <v>170</v>
      </c>
      <c r="I55" s="4">
        <f t="shared" si="1"/>
        <v>680</v>
      </c>
      <c r="J55" s="4">
        <f t="shared" si="2"/>
        <v>560</v>
      </c>
      <c r="K55" s="4">
        <f t="shared" si="3"/>
        <v>120</v>
      </c>
    </row>
    <row r="56" spans="1:11" x14ac:dyDescent="0.25">
      <c r="A56" s="2" t="s">
        <v>76</v>
      </c>
      <c r="B56" s="6" t="s">
        <v>82</v>
      </c>
      <c r="C56" s="6">
        <v>19</v>
      </c>
      <c r="D56" s="6">
        <v>15</v>
      </c>
      <c r="E56" s="6">
        <f t="shared" si="0"/>
        <v>29</v>
      </c>
      <c r="F56" s="6">
        <v>5</v>
      </c>
      <c r="G56" s="4">
        <v>185</v>
      </c>
      <c r="H56" s="4">
        <v>230</v>
      </c>
      <c r="I56" s="4">
        <f t="shared" si="1"/>
        <v>1150</v>
      </c>
      <c r="J56" s="4">
        <f t="shared" si="2"/>
        <v>925</v>
      </c>
      <c r="K56" s="4">
        <f t="shared" si="3"/>
        <v>225</v>
      </c>
    </row>
    <row r="57" spans="1:11" x14ac:dyDescent="0.25">
      <c r="A57" s="2" t="s">
        <v>77</v>
      </c>
      <c r="B57" s="6" t="s">
        <v>82</v>
      </c>
      <c r="C57" s="6">
        <v>21</v>
      </c>
      <c r="D57" s="6">
        <v>9</v>
      </c>
      <c r="E57" s="6">
        <f t="shared" si="0"/>
        <v>28</v>
      </c>
      <c r="F57" s="6">
        <v>2</v>
      </c>
      <c r="G57" s="4">
        <v>160</v>
      </c>
      <c r="H57" s="4">
        <v>200</v>
      </c>
      <c r="I57" s="4">
        <f t="shared" si="1"/>
        <v>400</v>
      </c>
      <c r="J57" s="4">
        <f t="shared" si="2"/>
        <v>320</v>
      </c>
      <c r="K57" s="4">
        <f t="shared" si="3"/>
        <v>80</v>
      </c>
    </row>
    <row r="58" spans="1:11" x14ac:dyDescent="0.25">
      <c r="A58" s="2" t="s">
        <v>78</v>
      </c>
      <c r="B58" s="6" t="s">
        <v>82</v>
      </c>
      <c r="C58" s="6">
        <v>26</v>
      </c>
      <c r="D58" s="6">
        <v>13</v>
      </c>
      <c r="E58" s="6">
        <f t="shared" si="0"/>
        <v>33</v>
      </c>
      <c r="F58" s="6">
        <v>6</v>
      </c>
      <c r="G58" s="4">
        <v>75</v>
      </c>
      <c r="H58" s="4">
        <v>105</v>
      </c>
      <c r="I58" s="4">
        <f t="shared" si="1"/>
        <v>630</v>
      </c>
      <c r="J58" s="4">
        <f t="shared" si="2"/>
        <v>450</v>
      </c>
      <c r="K58" s="4">
        <f t="shared" si="3"/>
        <v>180</v>
      </c>
    </row>
    <row r="59" spans="1:11" x14ac:dyDescent="0.25">
      <c r="A59" s="2" t="s">
        <v>79</v>
      </c>
      <c r="B59" s="6" t="s">
        <v>82</v>
      </c>
      <c r="C59" s="6">
        <v>27</v>
      </c>
      <c r="D59" s="6">
        <v>10</v>
      </c>
      <c r="E59" s="6">
        <f t="shared" si="0"/>
        <v>30</v>
      </c>
      <c r="F59" s="6">
        <v>7</v>
      </c>
      <c r="G59" s="4">
        <v>40</v>
      </c>
      <c r="H59" s="4">
        <v>60</v>
      </c>
      <c r="I59" s="4">
        <f t="shared" si="1"/>
        <v>420</v>
      </c>
      <c r="J59" s="4">
        <f t="shared" si="2"/>
        <v>280</v>
      </c>
      <c r="K59" s="4">
        <f t="shared" si="3"/>
        <v>140</v>
      </c>
    </row>
    <row r="60" spans="1:11" x14ac:dyDescent="0.25">
      <c r="A60" s="2" t="s">
        <v>83</v>
      </c>
      <c r="B60" s="6" t="s">
        <v>85</v>
      </c>
      <c r="C60" s="6">
        <v>39</v>
      </c>
      <c r="D60" s="6">
        <v>27</v>
      </c>
      <c r="E60" s="6">
        <f t="shared" si="0"/>
        <v>57</v>
      </c>
      <c r="F60" s="6">
        <v>9</v>
      </c>
      <c r="G60" s="4">
        <v>18</v>
      </c>
      <c r="H60" s="4">
        <v>30</v>
      </c>
      <c r="I60" s="4">
        <f t="shared" si="1"/>
        <v>270</v>
      </c>
      <c r="J60" s="4">
        <f t="shared" si="2"/>
        <v>162</v>
      </c>
      <c r="K60" s="4">
        <f t="shared" si="3"/>
        <v>108</v>
      </c>
    </row>
    <row r="61" spans="1:11" x14ac:dyDescent="0.25">
      <c r="A61" s="2" t="s">
        <v>84</v>
      </c>
      <c r="B61" s="6" t="s">
        <v>85</v>
      </c>
      <c r="C61" s="6">
        <v>29</v>
      </c>
      <c r="D61" s="6">
        <v>30</v>
      </c>
      <c r="E61" s="6">
        <f t="shared" si="0"/>
        <v>54</v>
      </c>
      <c r="F61" s="6">
        <v>5</v>
      </c>
      <c r="G61" s="4">
        <v>25</v>
      </c>
      <c r="H61" s="4">
        <v>40</v>
      </c>
      <c r="I61" s="4">
        <f t="shared" si="1"/>
        <v>200</v>
      </c>
      <c r="J61" s="4">
        <f t="shared" si="2"/>
        <v>125</v>
      </c>
      <c r="K61" s="4">
        <f t="shared" si="3"/>
        <v>75</v>
      </c>
    </row>
    <row r="62" spans="1:11" x14ac:dyDescent="0.25">
      <c r="A62" s="2" t="s">
        <v>86</v>
      </c>
      <c r="B62" s="6" t="s">
        <v>85</v>
      </c>
      <c r="C62" s="6">
        <v>28</v>
      </c>
      <c r="D62" s="6">
        <v>28</v>
      </c>
      <c r="E62" s="6">
        <f t="shared" si="0"/>
        <v>48</v>
      </c>
      <c r="F62" s="6">
        <v>8</v>
      </c>
      <c r="G62" s="4">
        <v>10</v>
      </c>
      <c r="H62" s="4">
        <v>15</v>
      </c>
      <c r="I62" s="4">
        <f t="shared" si="1"/>
        <v>120</v>
      </c>
      <c r="J62" s="4">
        <f t="shared" si="2"/>
        <v>80</v>
      </c>
      <c r="K62" s="4">
        <f t="shared" si="3"/>
        <v>40</v>
      </c>
    </row>
    <row r="63" spans="1:11" x14ac:dyDescent="0.25">
      <c r="A63" s="2" t="s">
        <v>88</v>
      </c>
      <c r="B63" s="6" t="s">
        <v>10</v>
      </c>
      <c r="C63" s="6">
        <v>46</v>
      </c>
      <c r="D63" s="6">
        <v>22</v>
      </c>
      <c r="E63" s="6">
        <f t="shared" si="0"/>
        <v>54</v>
      </c>
      <c r="F63" s="6">
        <v>14</v>
      </c>
      <c r="G63" s="4">
        <v>5</v>
      </c>
      <c r="H63" s="4">
        <v>8</v>
      </c>
      <c r="I63" s="4">
        <f t="shared" si="1"/>
        <v>112</v>
      </c>
      <c r="J63" s="4">
        <f t="shared" si="2"/>
        <v>70</v>
      </c>
      <c r="K63" s="4">
        <f t="shared" si="3"/>
        <v>42</v>
      </c>
    </row>
    <row r="64" spans="1:11" x14ac:dyDescent="0.25">
      <c r="A64" s="2" t="s">
        <v>87</v>
      </c>
      <c r="B64" s="6" t="s">
        <v>10</v>
      </c>
      <c r="C64" s="6">
        <v>41</v>
      </c>
      <c r="D64" s="6">
        <v>25</v>
      </c>
      <c r="E64" s="6">
        <f t="shared" si="0"/>
        <v>54</v>
      </c>
      <c r="F64" s="6">
        <v>12</v>
      </c>
      <c r="G64" s="4">
        <v>7</v>
      </c>
      <c r="H64" s="4">
        <v>15</v>
      </c>
      <c r="I64" s="4">
        <f t="shared" si="1"/>
        <v>180</v>
      </c>
      <c r="J64" s="4">
        <f t="shared" si="2"/>
        <v>84</v>
      </c>
      <c r="K64" s="4">
        <f t="shared" si="3"/>
        <v>96</v>
      </c>
    </row>
    <row r="65" spans="1:11" x14ac:dyDescent="0.25">
      <c r="A65" s="2" t="s">
        <v>89</v>
      </c>
      <c r="B65" s="6" t="s">
        <v>10</v>
      </c>
      <c r="C65" s="6">
        <v>46</v>
      </c>
      <c r="D65" s="6">
        <v>24</v>
      </c>
      <c r="E65" s="6">
        <f t="shared" si="0"/>
        <v>55</v>
      </c>
      <c r="F65" s="6">
        <v>15</v>
      </c>
      <c r="G65" s="4">
        <v>2</v>
      </c>
      <c r="H65" s="4">
        <v>5</v>
      </c>
      <c r="I65" s="4">
        <f t="shared" si="1"/>
        <v>75</v>
      </c>
      <c r="J65" s="4">
        <f t="shared" si="2"/>
        <v>30</v>
      </c>
      <c r="K65" s="4">
        <f t="shared" si="3"/>
        <v>45</v>
      </c>
    </row>
  </sheetData>
  <autoFilter ref="A1:K1" xr:uid="{830F64E9-15F1-445D-93BF-028953754D71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A03F-9AC2-4B09-AB30-68C012BAFA9C}">
  <dimension ref="A1:K65"/>
  <sheetViews>
    <sheetView topLeftCell="B30" zoomScaleNormal="100" workbookViewId="0">
      <selection activeCell="F2" sqref="F2:F65"/>
    </sheetView>
  </sheetViews>
  <sheetFormatPr defaultRowHeight="15" x14ac:dyDescent="0.25"/>
  <cols>
    <col min="1" max="1" width="67.28515625" bestFit="1" customWidth="1"/>
    <col min="2" max="2" width="25.5703125" bestFit="1" customWidth="1"/>
    <col min="3" max="3" width="14.7109375" bestFit="1" customWidth="1"/>
    <col min="4" max="5" width="12.5703125" bestFit="1" customWidth="1"/>
    <col min="6" max="6" width="17.85546875" customWidth="1"/>
    <col min="7" max="7" width="18.42578125" customWidth="1"/>
    <col min="8" max="8" width="18.5703125" customWidth="1"/>
    <col min="9" max="9" width="19.42578125" customWidth="1"/>
    <col min="10" max="10" width="18.42578125" customWidth="1"/>
    <col min="11" max="11" width="15.140625" customWidth="1"/>
  </cols>
  <sheetData>
    <row r="1" spans="1:11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22</v>
      </c>
      <c r="B2" s="6" t="s">
        <v>19</v>
      </c>
      <c r="C2" s="6">
        <v>47</v>
      </c>
      <c r="D2" s="6">
        <v>23</v>
      </c>
      <c r="E2" s="6">
        <f>C2+D2-F2</f>
        <v>47</v>
      </c>
      <c r="F2" s="6">
        <v>23</v>
      </c>
      <c r="G2" s="4">
        <v>90</v>
      </c>
      <c r="H2" s="4">
        <v>120</v>
      </c>
      <c r="I2" s="4">
        <f>F2*H2</f>
        <v>2760</v>
      </c>
      <c r="J2" s="4">
        <f>F2*G2</f>
        <v>2070</v>
      </c>
      <c r="K2" s="4">
        <f>I2-J2</f>
        <v>690</v>
      </c>
    </row>
    <row r="3" spans="1:11" x14ac:dyDescent="0.25">
      <c r="A3" s="2" t="s">
        <v>21</v>
      </c>
      <c r="B3" s="6" t="s">
        <v>19</v>
      </c>
      <c r="C3" s="6">
        <v>41</v>
      </c>
      <c r="D3" s="6">
        <v>20</v>
      </c>
      <c r="E3" s="6">
        <f t="shared" ref="E3:E65" si="0">C3+D3-F3</f>
        <v>43</v>
      </c>
      <c r="F3" s="6">
        <v>18</v>
      </c>
      <c r="G3" s="4">
        <v>135</v>
      </c>
      <c r="H3" s="4">
        <v>160</v>
      </c>
      <c r="I3" s="4">
        <f t="shared" ref="I3:I65" si="1">F3*H3</f>
        <v>2880</v>
      </c>
      <c r="J3" s="4">
        <f t="shared" ref="J3:J65" si="2">F3*G3</f>
        <v>2430</v>
      </c>
      <c r="K3" s="4">
        <f t="shared" ref="K3:K65" si="3">I3-J3</f>
        <v>450</v>
      </c>
    </row>
    <row r="4" spans="1:11" x14ac:dyDescent="0.25">
      <c r="A4" s="2" t="s">
        <v>20</v>
      </c>
      <c r="B4" s="6" t="s">
        <v>19</v>
      </c>
      <c r="C4" s="6">
        <v>51</v>
      </c>
      <c r="D4" s="6">
        <v>22</v>
      </c>
      <c r="E4" s="6">
        <f t="shared" si="0"/>
        <v>56</v>
      </c>
      <c r="F4" s="6">
        <v>17</v>
      </c>
      <c r="G4" s="4">
        <v>165</v>
      </c>
      <c r="H4" s="4">
        <v>185</v>
      </c>
      <c r="I4" s="4">
        <f t="shared" si="1"/>
        <v>3145</v>
      </c>
      <c r="J4" s="4">
        <f t="shared" si="2"/>
        <v>2805</v>
      </c>
      <c r="K4" s="4">
        <f t="shared" si="3"/>
        <v>340</v>
      </c>
    </row>
    <row r="5" spans="1:11" x14ac:dyDescent="0.25">
      <c r="A5" s="2" t="s">
        <v>23</v>
      </c>
      <c r="B5" s="6" t="s">
        <v>32</v>
      </c>
      <c r="C5" s="6">
        <v>37</v>
      </c>
      <c r="D5" s="6">
        <v>24</v>
      </c>
      <c r="E5" s="6">
        <f t="shared" si="0"/>
        <v>43</v>
      </c>
      <c r="F5" s="6">
        <v>18</v>
      </c>
      <c r="G5" s="4">
        <v>25</v>
      </c>
      <c r="H5" s="4">
        <v>35</v>
      </c>
      <c r="I5" s="4">
        <f t="shared" si="1"/>
        <v>630</v>
      </c>
      <c r="J5" s="4">
        <f t="shared" si="2"/>
        <v>450</v>
      </c>
      <c r="K5" s="4">
        <f t="shared" si="3"/>
        <v>180</v>
      </c>
    </row>
    <row r="6" spans="1:11" x14ac:dyDescent="0.25">
      <c r="A6" s="2" t="s">
        <v>24</v>
      </c>
      <c r="B6" s="6" t="s">
        <v>32</v>
      </c>
      <c r="C6" s="6">
        <v>46</v>
      </c>
      <c r="D6" s="6">
        <v>28</v>
      </c>
      <c r="E6" s="6">
        <f t="shared" si="0"/>
        <v>50</v>
      </c>
      <c r="F6" s="6">
        <v>24</v>
      </c>
      <c r="G6" s="4">
        <v>30</v>
      </c>
      <c r="H6" s="4">
        <v>55</v>
      </c>
      <c r="I6" s="4">
        <f t="shared" si="1"/>
        <v>1320</v>
      </c>
      <c r="J6" s="4">
        <f t="shared" si="2"/>
        <v>720</v>
      </c>
      <c r="K6" s="4">
        <f t="shared" si="3"/>
        <v>600</v>
      </c>
    </row>
    <row r="7" spans="1:11" x14ac:dyDescent="0.25">
      <c r="A7" s="2" t="s">
        <v>25</v>
      </c>
      <c r="B7" s="6" t="s">
        <v>32</v>
      </c>
      <c r="C7" s="6">
        <v>38</v>
      </c>
      <c r="D7" s="6">
        <v>25</v>
      </c>
      <c r="E7" s="6">
        <f t="shared" si="0"/>
        <v>41</v>
      </c>
      <c r="F7" s="6">
        <v>22</v>
      </c>
      <c r="G7" s="4">
        <v>18</v>
      </c>
      <c r="H7" s="4">
        <v>30</v>
      </c>
      <c r="I7" s="4">
        <f t="shared" si="1"/>
        <v>660</v>
      </c>
      <c r="J7" s="4">
        <f t="shared" si="2"/>
        <v>396</v>
      </c>
      <c r="K7" s="4">
        <f t="shared" si="3"/>
        <v>264</v>
      </c>
    </row>
    <row r="8" spans="1:11" x14ac:dyDescent="0.25">
      <c r="A8" s="2" t="s">
        <v>26</v>
      </c>
      <c r="B8" s="6" t="s">
        <v>32</v>
      </c>
      <c r="C8" s="6">
        <v>50</v>
      </c>
      <c r="D8" s="6">
        <v>25</v>
      </c>
      <c r="E8" s="6">
        <f t="shared" si="0"/>
        <v>61</v>
      </c>
      <c r="F8" s="6">
        <v>14</v>
      </c>
      <c r="G8" s="4">
        <v>50</v>
      </c>
      <c r="H8" s="4">
        <v>65</v>
      </c>
      <c r="I8" s="4">
        <f t="shared" si="1"/>
        <v>910</v>
      </c>
      <c r="J8" s="4">
        <f t="shared" si="2"/>
        <v>700</v>
      </c>
      <c r="K8" s="4">
        <f t="shared" si="3"/>
        <v>210</v>
      </c>
    </row>
    <row r="9" spans="1:11" x14ac:dyDescent="0.25">
      <c r="A9" s="2" t="s">
        <v>27</v>
      </c>
      <c r="B9" s="6" t="s">
        <v>33</v>
      </c>
      <c r="C9" s="6">
        <v>38</v>
      </c>
      <c r="D9" s="6">
        <v>12</v>
      </c>
      <c r="E9" s="6">
        <f t="shared" si="0"/>
        <v>38</v>
      </c>
      <c r="F9" s="6">
        <v>12</v>
      </c>
      <c r="G9" s="4">
        <v>35</v>
      </c>
      <c r="H9" s="4">
        <v>50</v>
      </c>
      <c r="I9" s="4">
        <f t="shared" si="1"/>
        <v>600</v>
      </c>
      <c r="J9" s="4">
        <f t="shared" si="2"/>
        <v>420</v>
      </c>
      <c r="K9" s="4">
        <f t="shared" si="3"/>
        <v>180</v>
      </c>
    </row>
    <row r="10" spans="1:11" x14ac:dyDescent="0.25">
      <c r="A10" s="2" t="s">
        <v>28</v>
      </c>
      <c r="B10" s="6" t="s">
        <v>33</v>
      </c>
      <c r="C10" s="6">
        <v>32</v>
      </c>
      <c r="D10" s="6">
        <v>14</v>
      </c>
      <c r="E10" s="6">
        <f t="shared" si="0"/>
        <v>35</v>
      </c>
      <c r="F10" s="6">
        <v>11</v>
      </c>
      <c r="G10" s="4">
        <v>22</v>
      </c>
      <c r="H10" s="4">
        <v>40</v>
      </c>
      <c r="I10" s="4">
        <f t="shared" si="1"/>
        <v>440</v>
      </c>
      <c r="J10" s="4">
        <f t="shared" si="2"/>
        <v>242</v>
      </c>
      <c r="K10" s="4">
        <f t="shared" si="3"/>
        <v>198</v>
      </c>
    </row>
    <row r="11" spans="1:11" x14ac:dyDescent="0.25">
      <c r="A11" s="2" t="s">
        <v>29</v>
      </c>
      <c r="B11" s="6" t="s">
        <v>16</v>
      </c>
      <c r="C11" s="6">
        <v>32</v>
      </c>
      <c r="D11" s="6">
        <v>18</v>
      </c>
      <c r="E11" s="6">
        <f t="shared" si="0"/>
        <v>36</v>
      </c>
      <c r="F11" s="6">
        <v>14</v>
      </c>
      <c r="G11" s="4">
        <v>190</v>
      </c>
      <c r="H11" s="4">
        <v>220</v>
      </c>
      <c r="I11" s="4">
        <f t="shared" si="1"/>
        <v>3080</v>
      </c>
      <c r="J11" s="4">
        <f t="shared" si="2"/>
        <v>2660</v>
      </c>
      <c r="K11" s="4">
        <f t="shared" si="3"/>
        <v>420</v>
      </c>
    </row>
    <row r="12" spans="1:11" x14ac:dyDescent="0.25">
      <c r="A12" s="2" t="s">
        <v>30</v>
      </c>
      <c r="B12" s="6" t="s">
        <v>16</v>
      </c>
      <c r="C12" s="6">
        <v>42</v>
      </c>
      <c r="D12" s="6">
        <v>26</v>
      </c>
      <c r="E12" s="6">
        <f t="shared" si="0"/>
        <v>53</v>
      </c>
      <c r="F12" s="6">
        <v>15</v>
      </c>
      <c r="G12" s="4">
        <v>65</v>
      </c>
      <c r="H12" s="4">
        <v>85</v>
      </c>
      <c r="I12" s="4">
        <f t="shared" si="1"/>
        <v>1275</v>
      </c>
      <c r="J12" s="4">
        <f t="shared" si="2"/>
        <v>975</v>
      </c>
      <c r="K12" s="4">
        <f t="shared" si="3"/>
        <v>300</v>
      </c>
    </row>
    <row r="13" spans="1:11" x14ac:dyDescent="0.25">
      <c r="A13" s="2" t="s">
        <v>31</v>
      </c>
      <c r="B13" s="6" t="s">
        <v>16</v>
      </c>
      <c r="C13" s="6">
        <v>35</v>
      </c>
      <c r="D13" s="6">
        <v>23</v>
      </c>
      <c r="E13" s="6">
        <f t="shared" si="0"/>
        <v>41</v>
      </c>
      <c r="F13" s="6">
        <v>17</v>
      </c>
      <c r="G13" s="4">
        <v>30</v>
      </c>
      <c r="H13" s="4">
        <v>42</v>
      </c>
      <c r="I13" s="4">
        <f t="shared" si="1"/>
        <v>714</v>
      </c>
      <c r="J13" s="4">
        <f t="shared" si="2"/>
        <v>510</v>
      </c>
      <c r="K13" s="4">
        <f t="shared" si="3"/>
        <v>204</v>
      </c>
    </row>
    <row r="14" spans="1:11" x14ac:dyDescent="0.25">
      <c r="A14" s="2" t="s">
        <v>34</v>
      </c>
      <c r="B14" s="6" t="s">
        <v>38</v>
      </c>
      <c r="C14" s="6">
        <v>51</v>
      </c>
      <c r="D14" s="6">
        <v>27</v>
      </c>
      <c r="E14" s="6">
        <f t="shared" si="0"/>
        <v>46</v>
      </c>
      <c r="F14" s="6">
        <v>32</v>
      </c>
      <c r="G14" s="4">
        <v>25</v>
      </c>
      <c r="H14" s="4">
        <v>40</v>
      </c>
      <c r="I14" s="4">
        <f t="shared" si="1"/>
        <v>1280</v>
      </c>
      <c r="J14" s="4">
        <f t="shared" si="2"/>
        <v>800</v>
      </c>
      <c r="K14" s="4">
        <f t="shared" si="3"/>
        <v>480</v>
      </c>
    </row>
    <row r="15" spans="1:11" x14ac:dyDescent="0.25">
      <c r="A15" s="2" t="s">
        <v>35</v>
      </c>
      <c r="B15" s="6" t="s">
        <v>38</v>
      </c>
      <c r="C15" s="6">
        <v>51</v>
      </c>
      <c r="D15" s="6">
        <v>32</v>
      </c>
      <c r="E15" s="6">
        <f t="shared" si="0"/>
        <v>58</v>
      </c>
      <c r="F15" s="6">
        <v>25</v>
      </c>
      <c r="G15" s="4">
        <v>45</v>
      </c>
      <c r="H15" s="4">
        <v>60</v>
      </c>
      <c r="I15" s="4">
        <f t="shared" si="1"/>
        <v>1500</v>
      </c>
      <c r="J15" s="4">
        <f t="shared" si="2"/>
        <v>1125</v>
      </c>
      <c r="K15" s="4">
        <f t="shared" si="3"/>
        <v>375</v>
      </c>
    </row>
    <row r="16" spans="1:11" x14ac:dyDescent="0.25">
      <c r="A16" s="2" t="s">
        <v>36</v>
      </c>
      <c r="B16" s="6" t="s">
        <v>38</v>
      </c>
      <c r="C16" s="6">
        <v>38</v>
      </c>
      <c r="D16" s="6">
        <v>28</v>
      </c>
      <c r="E16" s="6">
        <f t="shared" si="0"/>
        <v>38</v>
      </c>
      <c r="F16" s="6">
        <v>28</v>
      </c>
      <c r="G16" s="4">
        <v>40</v>
      </c>
      <c r="H16" s="4">
        <v>60</v>
      </c>
      <c r="I16" s="4">
        <f t="shared" si="1"/>
        <v>1680</v>
      </c>
      <c r="J16" s="4">
        <f t="shared" si="2"/>
        <v>1120</v>
      </c>
      <c r="K16" s="4">
        <f t="shared" si="3"/>
        <v>560</v>
      </c>
    </row>
    <row r="17" spans="1:11" x14ac:dyDescent="0.25">
      <c r="A17" s="2" t="s">
        <v>37</v>
      </c>
      <c r="B17" s="6" t="s">
        <v>38</v>
      </c>
      <c r="C17" s="6">
        <v>32</v>
      </c>
      <c r="D17" s="6">
        <v>23</v>
      </c>
      <c r="E17" s="6">
        <f t="shared" si="0"/>
        <v>34</v>
      </c>
      <c r="F17" s="6">
        <v>21</v>
      </c>
      <c r="G17" s="4">
        <v>65</v>
      </c>
      <c r="H17" s="4">
        <v>80</v>
      </c>
      <c r="I17" s="4">
        <f t="shared" si="1"/>
        <v>1680</v>
      </c>
      <c r="J17" s="4">
        <f t="shared" si="2"/>
        <v>1365</v>
      </c>
      <c r="K17" s="4">
        <f t="shared" si="3"/>
        <v>315</v>
      </c>
    </row>
    <row r="18" spans="1:11" x14ac:dyDescent="0.25">
      <c r="A18" s="2" t="s">
        <v>39</v>
      </c>
      <c r="B18" s="6" t="s">
        <v>40</v>
      </c>
      <c r="C18" s="6">
        <v>55</v>
      </c>
      <c r="D18" s="6">
        <v>27</v>
      </c>
      <c r="E18" s="6">
        <f t="shared" si="0"/>
        <v>55</v>
      </c>
      <c r="F18" s="6">
        <v>27</v>
      </c>
      <c r="G18" s="4">
        <v>80</v>
      </c>
      <c r="H18" s="4">
        <v>100</v>
      </c>
      <c r="I18" s="4">
        <f t="shared" si="1"/>
        <v>2700</v>
      </c>
      <c r="J18" s="4">
        <f t="shared" si="2"/>
        <v>2160</v>
      </c>
      <c r="K18" s="4">
        <f t="shared" si="3"/>
        <v>540</v>
      </c>
    </row>
    <row r="19" spans="1:11" x14ac:dyDescent="0.25">
      <c r="A19" s="2" t="s">
        <v>41</v>
      </c>
      <c r="B19" s="6" t="s">
        <v>40</v>
      </c>
      <c r="C19" s="6">
        <v>41</v>
      </c>
      <c r="D19" s="6">
        <v>35</v>
      </c>
      <c r="E19" s="6">
        <f t="shared" si="0"/>
        <v>44</v>
      </c>
      <c r="F19" s="6">
        <v>32</v>
      </c>
      <c r="G19" s="4">
        <v>35</v>
      </c>
      <c r="H19" s="4">
        <v>50</v>
      </c>
      <c r="I19" s="4">
        <f t="shared" si="1"/>
        <v>1600</v>
      </c>
      <c r="J19" s="4">
        <f t="shared" si="2"/>
        <v>1120</v>
      </c>
      <c r="K19" s="4">
        <f t="shared" si="3"/>
        <v>480</v>
      </c>
    </row>
    <row r="20" spans="1:11" x14ac:dyDescent="0.25">
      <c r="A20" s="2" t="s">
        <v>42</v>
      </c>
      <c r="B20" s="6" t="s">
        <v>40</v>
      </c>
      <c r="C20" s="6">
        <v>44</v>
      </c>
      <c r="D20" s="6">
        <v>19</v>
      </c>
      <c r="E20" s="6">
        <f t="shared" si="0"/>
        <v>46</v>
      </c>
      <c r="F20" s="6">
        <v>17</v>
      </c>
      <c r="G20" s="4">
        <v>45</v>
      </c>
      <c r="H20" s="4">
        <v>60</v>
      </c>
      <c r="I20" s="4">
        <f t="shared" si="1"/>
        <v>1020</v>
      </c>
      <c r="J20" s="4">
        <f t="shared" si="2"/>
        <v>765</v>
      </c>
      <c r="K20" s="4">
        <f t="shared" si="3"/>
        <v>255</v>
      </c>
    </row>
    <row r="21" spans="1:11" x14ac:dyDescent="0.25">
      <c r="A21" s="2" t="s">
        <v>43</v>
      </c>
      <c r="B21" s="6" t="s">
        <v>40</v>
      </c>
      <c r="C21" s="6">
        <v>36</v>
      </c>
      <c r="D21" s="6">
        <v>21</v>
      </c>
      <c r="E21" s="6">
        <f t="shared" si="0"/>
        <v>38</v>
      </c>
      <c r="F21" s="6">
        <v>19</v>
      </c>
      <c r="G21" s="4">
        <v>70</v>
      </c>
      <c r="H21" s="4">
        <v>90</v>
      </c>
      <c r="I21" s="4">
        <f t="shared" si="1"/>
        <v>1710</v>
      </c>
      <c r="J21" s="4">
        <f t="shared" si="2"/>
        <v>1330</v>
      </c>
      <c r="K21" s="4">
        <f t="shared" si="3"/>
        <v>380</v>
      </c>
    </row>
    <row r="22" spans="1:11" x14ac:dyDescent="0.25">
      <c r="A22" s="2" t="s">
        <v>44</v>
      </c>
      <c r="B22" s="6" t="s">
        <v>40</v>
      </c>
      <c r="C22" s="6">
        <v>45</v>
      </c>
      <c r="D22" s="6">
        <v>23</v>
      </c>
      <c r="E22" s="6">
        <f t="shared" si="0"/>
        <v>45</v>
      </c>
      <c r="F22" s="6">
        <v>23</v>
      </c>
      <c r="G22" s="4">
        <v>85</v>
      </c>
      <c r="H22" s="4">
        <v>100</v>
      </c>
      <c r="I22" s="4">
        <f t="shared" si="1"/>
        <v>2300</v>
      </c>
      <c r="J22" s="4">
        <f t="shared" si="2"/>
        <v>1955</v>
      </c>
      <c r="K22" s="4">
        <f t="shared" si="3"/>
        <v>345</v>
      </c>
    </row>
    <row r="23" spans="1:11" x14ac:dyDescent="0.25">
      <c r="A23" s="2" t="s">
        <v>45</v>
      </c>
      <c r="B23" s="6" t="s">
        <v>40</v>
      </c>
      <c r="C23" s="6">
        <v>40</v>
      </c>
      <c r="D23" s="6">
        <v>25</v>
      </c>
      <c r="E23" s="6">
        <f t="shared" si="0"/>
        <v>44</v>
      </c>
      <c r="F23" s="6">
        <v>21</v>
      </c>
      <c r="G23" s="4">
        <v>80</v>
      </c>
      <c r="H23" s="4">
        <v>100</v>
      </c>
      <c r="I23" s="4">
        <f t="shared" si="1"/>
        <v>2100</v>
      </c>
      <c r="J23" s="4">
        <f t="shared" si="2"/>
        <v>1680</v>
      </c>
      <c r="K23" s="4">
        <f t="shared" si="3"/>
        <v>420</v>
      </c>
    </row>
    <row r="24" spans="1:11" x14ac:dyDescent="0.25">
      <c r="A24" s="2" t="s">
        <v>46</v>
      </c>
      <c r="B24" s="6" t="s">
        <v>40</v>
      </c>
      <c r="C24" s="6">
        <v>31</v>
      </c>
      <c r="D24" s="6">
        <v>18</v>
      </c>
      <c r="E24" s="6">
        <f t="shared" si="0"/>
        <v>32</v>
      </c>
      <c r="F24" s="6">
        <v>17</v>
      </c>
      <c r="G24" s="4">
        <v>35</v>
      </c>
      <c r="H24" s="4">
        <v>50</v>
      </c>
      <c r="I24" s="4">
        <f t="shared" si="1"/>
        <v>850</v>
      </c>
      <c r="J24" s="4">
        <f t="shared" si="2"/>
        <v>595</v>
      </c>
      <c r="K24" s="4">
        <f t="shared" si="3"/>
        <v>255</v>
      </c>
    </row>
    <row r="25" spans="1:11" x14ac:dyDescent="0.25">
      <c r="A25" s="2" t="s">
        <v>47</v>
      </c>
      <c r="B25" s="6" t="s">
        <v>40</v>
      </c>
      <c r="C25" s="6">
        <v>26</v>
      </c>
      <c r="D25" s="6">
        <v>16</v>
      </c>
      <c r="E25" s="6">
        <f t="shared" si="0"/>
        <v>30</v>
      </c>
      <c r="F25" s="6">
        <v>12</v>
      </c>
      <c r="G25" s="4">
        <v>75</v>
      </c>
      <c r="H25" s="4">
        <v>100</v>
      </c>
      <c r="I25" s="4">
        <f t="shared" si="1"/>
        <v>1200</v>
      </c>
      <c r="J25" s="4">
        <f t="shared" si="2"/>
        <v>900</v>
      </c>
      <c r="K25" s="4">
        <f t="shared" si="3"/>
        <v>300</v>
      </c>
    </row>
    <row r="26" spans="1:11" x14ac:dyDescent="0.25">
      <c r="A26" s="2" t="s">
        <v>48</v>
      </c>
      <c r="B26" s="6" t="s">
        <v>11</v>
      </c>
      <c r="C26" s="6">
        <v>27</v>
      </c>
      <c r="D26" s="6">
        <v>0</v>
      </c>
      <c r="E26" s="6">
        <f t="shared" si="0"/>
        <v>19</v>
      </c>
      <c r="F26" s="6">
        <v>8</v>
      </c>
      <c r="G26" s="4">
        <v>200</v>
      </c>
      <c r="H26" s="4">
        <v>250</v>
      </c>
      <c r="I26" s="4">
        <f t="shared" si="1"/>
        <v>2000</v>
      </c>
      <c r="J26" s="4">
        <f t="shared" si="2"/>
        <v>1600</v>
      </c>
      <c r="K26" s="4">
        <f t="shared" si="3"/>
        <v>400</v>
      </c>
    </row>
    <row r="27" spans="1:11" x14ac:dyDescent="0.25">
      <c r="A27" s="2" t="s">
        <v>49</v>
      </c>
      <c r="B27" s="6" t="s">
        <v>11</v>
      </c>
      <c r="C27" s="6">
        <v>13</v>
      </c>
      <c r="D27" s="6">
        <v>5</v>
      </c>
      <c r="E27" s="6">
        <f t="shared" si="0"/>
        <v>12</v>
      </c>
      <c r="F27" s="6">
        <v>6</v>
      </c>
      <c r="G27" s="4">
        <v>175</v>
      </c>
      <c r="H27" s="4">
        <v>200</v>
      </c>
      <c r="I27" s="4">
        <f t="shared" si="1"/>
        <v>1200</v>
      </c>
      <c r="J27" s="4">
        <f t="shared" si="2"/>
        <v>1050</v>
      </c>
      <c r="K27" s="4">
        <f t="shared" si="3"/>
        <v>150</v>
      </c>
    </row>
    <row r="28" spans="1:11" x14ac:dyDescent="0.25">
      <c r="A28" s="2" t="s">
        <v>50</v>
      </c>
      <c r="B28" s="6" t="s">
        <v>11</v>
      </c>
      <c r="C28" s="6">
        <v>16</v>
      </c>
      <c r="D28" s="6">
        <v>4</v>
      </c>
      <c r="E28" s="6">
        <f t="shared" si="0"/>
        <v>15</v>
      </c>
      <c r="F28" s="6">
        <v>5</v>
      </c>
      <c r="G28" s="4">
        <v>130</v>
      </c>
      <c r="H28" s="4">
        <v>155</v>
      </c>
      <c r="I28" s="4">
        <f t="shared" si="1"/>
        <v>775</v>
      </c>
      <c r="J28" s="4">
        <f t="shared" si="2"/>
        <v>650</v>
      </c>
      <c r="K28" s="4">
        <f t="shared" si="3"/>
        <v>125</v>
      </c>
    </row>
    <row r="29" spans="1:11" x14ac:dyDescent="0.25">
      <c r="A29" s="2" t="s">
        <v>51</v>
      </c>
      <c r="B29" s="6" t="s">
        <v>12</v>
      </c>
      <c r="C29" s="6">
        <v>37</v>
      </c>
      <c r="D29" s="6">
        <v>22</v>
      </c>
      <c r="E29" s="6">
        <f t="shared" si="0"/>
        <v>43</v>
      </c>
      <c r="F29" s="6">
        <v>16</v>
      </c>
      <c r="G29" s="4">
        <v>7</v>
      </c>
      <c r="H29" s="4">
        <v>12</v>
      </c>
      <c r="I29" s="4">
        <f t="shared" si="1"/>
        <v>192</v>
      </c>
      <c r="J29" s="4">
        <f t="shared" si="2"/>
        <v>112</v>
      </c>
      <c r="K29" s="4">
        <f t="shared" si="3"/>
        <v>80</v>
      </c>
    </row>
    <row r="30" spans="1:11" x14ac:dyDescent="0.25">
      <c r="A30" s="2" t="s">
        <v>52</v>
      </c>
      <c r="B30" s="6" t="s">
        <v>12</v>
      </c>
      <c r="C30" s="6">
        <v>35</v>
      </c>
      <c r="D30" s="6">
        <v>15</v>
      </c>
      <c r="E30" s="6">
        <f t="shared" si="0"/>
        <v>37</v>
      </c>
      <c r="F30" s="6">
        <v>13</v>
      </c>
      <c r="G30" s="4">
        <v>5</v>
      </c>
      <c r="H30" s="4">
        <v>10</v>
      </c>
      <c r="I30" s="4">
        <f t="shared" si="1"/>
        <v>130</v>
      </c>
      <c r="J30" s="4">
        <f t="shared" si="2"/>
        <v>65</v>
      </c>
      <c r="K30" s="4">
        <f t="shared" si="3"/>
        <v>65</v>
      </c>
    </row>
    <row r="31" spans="1:11" x14ac:dyDescent="0.25">
      <c r="A31" s="2" t="s">
        <v>53</v>
      </c>
      <c r="B31" s="6" t="s">
        <v>57</v>
      </c>
      <c r="C31" s="6">
        <v>52</v>
      </c>
      <c r="D31" s="6">
        <v>22</v>
      </c>
      <c r="E31" s="6">
        <f t="shared" si="0"/>
        <v>56</v>
      </c>
      <c r="F31" s="6">
        <v>18</v>
      </c>
      <c r="G31" s="4">
        <v>45</v>
      </c>
      <c r="H31" s="4">
        <v>60</v>
      </c>
      <c r="I31" s="4">
        <f t="shared" si="1"/>
        <v>1080</v>
      </c>
      <c r="J31" s="4">
        <f t="shared" si="2"/>
        <v>810</v>
      </c>
      <c r="K31" s="4">
        <f t="shared" si="3"/>
        <v>270</v>
      </c>
    </row>
    <row r="32" spans="1:11" x14ac:dyDescent="0.25">
      <c r="A32" s="2" t="s">
        <v>54</v>
      </c>
      <c r="B32" s="6" t="s">
        <v>57</v>
      </c>
      <c r="C32" s="6">
        <v>43</v>
      </c>
      <c r="D32" s="6">
        <v>17</v>
      </c>
      <c r="E32" s="6">
        <f t="shared" si="0"/>
        <v>45</v>
      </c>
      <c r="F32" s="6">
        <v>15</v>
      </c>
      <c r="G32" s="4">
        <v>65</v>
      </c>
      <c r="H32" s="4">
        <v>80</v>
      </c>
      <c r="I32" s="4">
        <f t="shared" si="1"/>
        <v>1200</v>
      </c>
      <c r="J32" s="4">
        <f t="shared" si="2"/>
        <v>975</v>
      </c>
      <c r="K32" s="4">
        <f t="shared" si="3"/>
        <v>225</v>
      </c>
    </row>
    <row r="33" spans="1:11" x14ac:dyDescent="0.25">
      <c r="A33" s="2" t="s">
        <v>55</v>
      </c>
      <c r="B33" s="6" t="s">
        <v>57</v>
      </c>
      <c r="C33" s="6">
        <v>25</v>
      </c>
      <c r="D33" s="6">
        <v>23</v>
      </c>
      <c r="E33" s="6">
        <f t="shared" si="0"/>
        <v>30</v>
      </c>
      <c r="F33" s="6">
        <v>18</v>
      </c>
      <c r="G33" s="4">
        <v>25</v>
      </c>
      <c r="H33" s="4">
        <v>40</v>
      </c>
      <c r="I33" s="4">
        <f t="shared" si="1"/>
        <v>720</v>
      </c>
      <c r="J33" s="4">
        <f t="shared" si="2"/>
        <v>450</v>
      </c>
      <c r="K33" s="4">
        <f t="shared" si="3"/>
        <v>270</v>
      </c>
    </row>
    <row r="34" spans="1:11" x14ac:dyDescent="0.25">
      <c r="A34" s="2" t="s">
        <v>56</v>
      </c>
      <c r="B34" s="6" t="s">
        <v>57</v>
      </c>
      <c r="C34" s="6">
        <v>30</v>
      </c>
      <c r="D34" s="6">
        <v>18</v>
      </c>
      <c r="E34" s="6">
        <f t="shared" si="0"/>
        <v>33</v>
      </c>
      <c r="F34" s="6">
        <v>15</v>
      </c>
      <c r="G34" s="4">
        <v>20</v>
      </c>
      <c r="H34" s="4">
        <v>25</v>
      </c>
      <c r="I34" s="4">
        <f t="shared" si="1"/>
        <v>375</v>
      </c>
      <c r="J34" s="4">
        <f t="shared" si="2"/>
        <v>300</v>
      </c>
      <c r="K34" s="4">
        <f t="shared" si="3"/>
        <v>75</v>
      </c>
    </row>
    <row r="35" spans="1:11" x14ac:dyDescent="0.25">
      <c r="A35" s="2" t="s">
        <v>58</v>
      </c>
      <c r="B35" s="6" t="s">
        <v>13</v>
      </c>
      <c r="C35" s="6">
        <v>11</v>
      </c>
      <c r="D35" s="6">
        <v>15</v>
      </c>
      <c r="E35" s="6">
        <f t="shared" si="0"/>
        <v>14</v>
      </c>
      <c r="F35" s="6">
        <v>12</v>
      </c>
      <c r="G35" s="4">
        <v>135</v>
      </c>
      <c r="H35" s="4">
        <v>170</v>
      </c>
      <c r="I35" s="4">
        <f t="shared" si="1"/>
        <v>2040</v>
      </c>
      <c r="J35" s="4">
        <f t="shared" si="2"/>
        <v>1620</v>
      </c>
      <c r="K35" s="4">
        <f t="shared" si="3"/>
        <v>420</v>
      </c>
    </row>
    <row r="36" spans="1:11" x14ac:dyDescent="0.25">
      <c r="A36" s="2" t="s">
        <v>59</v>
      </c>
      <c r="B36" s="6" t="s">
        <v>13</v>
      </c>
      <c r="C36" s="6">
        <v>11</v>
      </c>
      <c r="D36" s="6">
        <v>12</v>
      </c>
      <c r="E36" s="6">
        <f t="shared" si="0"/>
        <v>14</v>
      </c>
      <c r="F36" s="6">
        <v>9</v>
      </c>
      <c r="G36" s="4">
        <v>300</v>
      </c>
      <c r="H36" s="4">
        <v>360</v>
      </c>
      <c r="I36" s="4">
        <f t="shared" si="1"/>
        <v>3240</v>
      </c>
      <c r="J36" s="4">
        <f t="shared" si="2"/>
        <v>2700</v>
      </c>
      <c r="K36" s="4">
        <f t="shared" si="3"/>
        <v>540</v>
      </c>
    </row>
    <row r="37" spans="1:11" x14ac:dyDescent="0.25">
      <c r="A37" s="2" t="s">
        <v>60</v>
      </c>
      <c r="B37" s="6" t="s">
        <v>13</v>
      </c>
      <c r="C37" s="6">
        <v>29</v>
      </c>
      <c r="D37" s="6">
        <v>21</v>
      </c>
      <c r="E37" s="6">
        <f t="shared" si="0"/>
        <v>36</v>
      </c>
      <c r="F37" s="6">
        <v>14</v>
      </c>
      <c r="G37" s="4">
        <v>70</v>
      </c>
      <c r="H37" s="4">
        <v>90</v>
      </c>
      <c r="I37" s="4">
        <f t="shared" si="1"/>
        <v>1260</v>
      </c>
      <c r="J37" s="4">
        <f t="shared" si="2"/>
        <v>980</v>
      </c>
      <c r="K37" s="4">
        <f t="shared" si="3"/>
        <v>280</v>
      </c>
    </row>
    <row r="38" spans="1:11" x14ac:dyDescent="0.25">
      <c r="A38" s="2" t="s">
        <v>61</v>
      </c>
      <c r="B38" s="6" t="s">
        <v>13</v>
      </c>
      <c r="C38" s="6">
        <v>18</v>
      </c>
      <c r="D38" s="6">
        <v>8</v>
      </c>
      <c r="E38" s="6">
        <f t="shared" si="0"/>
        <v>17</v>
      </c>
      <c r="F38" s="6">
        <v>9</v>
      </c>
      <c r="G38" s="4">
        <v>65</v>
      </c>
      <c r="H38" s="4">
        <v>100</v>
      </c>
      <c r="I38" s="4">
        <f t="shared" si="1"/>
        <v>900</v>
      </c>
      <c r="J38" s="4">
        <f t="shared" si="2"/>
        <v>585</v>
      </c>
      <c r="K38" s="4">
        <f t="shared" si="3"/>
        <v>315</v>
      </c>
    </row>
    <row r="39" spans="1:11" x14ac:dyDescent="0.25">
      <c r="A39" s="2" t="s">
        <v>62</v>
      </c>
      <c r="B39" s="6" t="s">
        <v>13</v>
      </c>
      <c r="C39" s="6">
        <v>21</v>
      </c>
      <c r="D39" s="6">
        <v>15</v>
      </c>
      <c r="E39" s="6">
        <f t="shared" si="0"/>
        <v>22</v>
      </c>
      <c r="F39" s="6">
        <v>14</v>
      </c>
      <c r="G39" s="4">
        <v>45</v>
      </c>
      <c r="H39" s="4">
        <v>65</v>
      </c>
      <c r="I39" s="4">
        <f t="shared" si="1"/>
        <v>910</v>
      </c>
      <c r="J39" s="4">
        <f t="shared" si="2"/>
        <v>630</v>
      </c>
      <c r="K39" s="4">
        <f t="shared" si="3"/>
        <v>280</v>
      </c>
    </row>
    <row r="40" spans="1:11" x14ac:dyDescent="0.25">
      <c r="A40" s="2" t="s">
        <v>63</v>
      </c>
      <c r="B40" s="6" t="s">
        <v>80</v>
      </c>
      <c r="C40" s="6">
        <v>28</v>
      </c>
      <c r="D40" s="6">
        <v>14</v>
      </c>
      <c r="E40" s="6">
        <f t="shared" si="0"/>
        <v>30</v>
      </c>
      <c r="F40" s="6">
        <v>12</v>
      </c>
      <c r="G40" s="4">
        <v>20</v>
      </c>
      <c r="H40" s="4">
        <v>30</v>
      </c>
      <c r="I40" s="4">
        <f t="shared" si="1"/>
        <v>360</v>
      </c>
      <c r="J40" s="4">
        <f t="shared" si="2"/>
        <v>240</v>
      </c>
      <c r="K40" s="4">
        <f t="shared" si="3"/>
        <v>120</v>
      </c>
    </row>
    <row r="41" spans="1:11" x14ac:dyDescent="0.25">
      <c r="A41" s="2" t="s">
        <v>64</v>
      </c>
      <c r="B41" s="6" t="s">
        <v>80</v>
      </c>
      <c r="C41" s="6">
        <v>23</v>
      </c>
      <c r="D41" s="6">
        <v>17</v>
      </c>
      <c r="E41" s="6">
        <f t="shared" si="0"/>
        <v>26</v>
      </c>
      <c r="F41" s="6">
        <v>14</v>
      </c>
      <c r="G41" s="4">
        <v>12</v>
      </c>
      <c r="H41" s="4">
        <v>20</v>
      </c>
      <c r="I41" s="4">
        <f t="shared" si="1"/>
        <v>280</v>
      </c>
      <c r="J41" s="4">
        <f t="shared" si="2"/>
        <v>168</v>
      </c>
      <c r="K41" s="4">
        <f t="shared" si="3"/>
        <v>112</v>
      </c>
    </row>
    <row r="42" spans="1:11" x14ac:dyDescent="0.25">
      <c r="A42" s="2" t="s">
        <v>65</v>
      </c>
      <c r="B42" s="6" t="s">
        <v>14</v>
      </c>
      <c r="C42" s="6">
        <v>13</v>
      </c>
      <c r="D42" s="6">
        <v>5</v>
      </c>
      <c r="E42" s="6">
        <f t="shared" si="0"/>
        <v>11</v>
      </c>
      <c r="F42" s="6">
        <v>7</v>
      </c>
      <c r="G42" s="4">
        <v>55</v>
      </c>
      <c r="H42" s="4">
        <v>80</v>
      </c>
      <c r="I42" s="4">
        <f t="shared" si="1"/>
        <v>560</v>
      </c>
      <c r="J42" s="4">
        <f t="shared" si="2"/>
        <v>385</v>
      </c>
      <c r="K42" s="4">
        <f t="shared" si="3"/>
        <v>175</v>
      </c>
    </row>
    <row r="43" spans="1:11" x14ac:dyDescent="0.25">
      <c r="A43" s="2" t="s">
        <v>66</v>
      </c>
      <c r="B43" s="6" t="s">
        <v>14</v>
      </c>
      <c r="C43" s="6">
        <v>47</v>
      </c>
      <c r="D43" s="6">
        <v>23</v>
      </c>
      <c r="E43" s="6">
        <f t="shared" si="0"/>
        <v>48</v>
      </c>
      <c r="F43" s="6">
        <v>22</v>
      </c>
      <c r="G43" s="4">
        <v>7</v>
      </c>
      <c r="H43" s="4">
        <v>20</v>
      </c>
      <c r="I43" s="4">
        <f t="shared" si="1"/>
        <v>440</v>
      </c>
      <c r="J43" s="4">
        <f t="shared" si="2"/>
        <v>154</v>
      </c>
      <c r="K43" s="4">
        <f t="shared" si="3"/>
        <v>286</v>
      </c>
    </row>
    <row r="44" spans="1:11" x14ac:dyDescent="0.25">
      <c r="A44" s="2" t="s">
        <v>67</v>
      </c>
      <c r="B44" s="6" t="s">
        <v>15</v>
      </c>
      <c r="C44" s="6">
        <v>39</v>
      </c>
      <c r="D44" s="6">
        <v>15</v>
      </c>
      <c r="E44" s="6">
        <f t="shared" si="0"/>
        <v>41</v>
      </c>
      <c r="F44" s="6">
        <v>13</v>
      </c>
      <c r="G44" s="4">
        <v>35</v>
      </c>
      <c r="H44" s="4">
        <v>60</v>
      </c>
      <c r="I44" s="4">
        <f t="shared" si="1"/>
        <v>780</v>
      </c>
      <c r="J44" s="4">
        <f t="shared" si="2"/>
        <v>455</v>
      </c>
      <c r="K44" s="4">
        <f t="shared" si="3"/>
        <v>325</v>
      </c>
    </row>
    <row r="45" spans="1:11" x14ac:dyDescent="0.25">
      <c r="A45" s="2" t="s">
        <v>90</v>
      </c>
      <c r="B45" s="6" t="s">
        <v>15</v>
      </c>
      <c r="C45" s="6">
        <v>30</v>
      </c>
      <c r="D45" s="6">
        <v>9</v>
      </c>
      <c r="E45" s="6">
        <f t="shared" si="0"/>
        <v>33</v>
      </c>
      <c r="F45" s="6">
        <v>6</v>
      </c>
      <c r="G45" s="4">
        <v>185</v>
      </c>
      <c r="H45" s="4">
        <v>230</v>
      </c>
      <c r="I45" s="4">
        <f t="shared" si="1"/>
        <v>1380</v>
      </c>
      <c r="J45" s="4">
        <f t="shared" si="2"/>
        <v>1110</v>
      </c>
      <c r="K45" s="4">
        <f t="shared" si="3"/>
        <v>270</v>
      </c>
    </row>
    <row r="46" spans="1:11" x14ac:dyDescent="0.25">
      <c r="A46" s="2" t="s">
        <v>91</v>
      </c>
      <c r="B46" s="6" t="s">
        <v>15</v>
      </c>
      <c r="C46" s="6">
        <v>33</v>
      </c>
      <c r="D46" s="6">
        <v>12</v>
      </c>
      <c r="E46" s="6">
        <f t="shared" si="0"/>
        <v>36</v>
      </c>
      <c r="F46" s="6">
        <v>9</v>
      </c>
      <c r="G46" s="4">
        <v>140</v>
      </c>
      <c r="H46" s="4">
        <v>165</v>
      </c>
      <c r="I46" s="4">
        <f t="shared" si="1"/>
        <v>1485</v>
      </c>
      <c r="J46" s="4">
        <f t="shared" si="2"/>
        <v>1260</v>
      </c>
      <c r="K46" s="4">
        <f t="shared" si="3"/>
        <v>225</v>
      </c>
    </row>
    <row r="47" spans="1:11" x14ac:dyDescent="0.25">
      <c r="A47" s="2" t="s">
        <v>68</v>
      </c>
      <c r="B47" s="6" t="s">
        <v>81</v>
      </c>
      <c r="C47" s="6">
        <v>45</v>
      </c>
      <c r="D47" s="6">
        <v>17</v>
      </c>
      <c r="E47" s="6">
        <f t="shared" si="0"/>
        <v>54</v>
      </c>
      <c r="F47" s="6">
        <v>8</v>
      </c>
      <c r="G47" s="4">
        <v>120</v>
      </c>
      <c r="H47" s="4">
        <v>155</v>
      </c>
      <c r="I47" s="4">
        <f t="shared" si="1"/>
        <v>1240</v>
      </c>
      <c r="J47" s="4">
        <f t="shared" si="2"/>
        <v>960</v>
      </c>
      <c r="K47" s="4">
        <f t="shared" si="3"/>
        <v>280</v>
      </c>
    </row>
    <row r="48" spans="1:11" x14ac:dyDescent="0.25">
      <c r="A48" s="2" t="s">
        <v>69</v>
      </c>
      <c r="B48" s="6" t="s">
        <v>81</v>
      </c>
      <c r="C48" s="6">
        <v>36</v>
      </c>
      <c r="D48" s="6">
        <v>13</v>
      </c>
      <c r="E48" s="6">
        <f t="shared" si="0"/>
        <v>34</v>
      </c>
      <c r="F48" s="6">
        <v>15</v>
      </c>
      <c r="G48" s="4">
        <v>25</v>
      </c>
      <c r="H48" s="4">
        <v>50</v>
      </c>
      <c r="I48" s="4">
        <f t="shared" si="1"/>
        <v>750</v>
      </c>
      <c r="J48" s="4">
        <f t="shared" si="2"/>
        <v>375</v>
      </c>
      <c r="K48" s="4">
        <f t="shared" si="3"/>
        <v>375</v>
      </c>
    </row>
    <row r="49" spans="1:11" x14ac:dyDescent="0.25">
      <c r="A49" s="2" t="s">
        <v>70</v>
      </c>
      <c r="B49" s="6" t="s">
        <v>81</v>
      </c>
      <c r="C49" s="6">
        <v>42</v>
      </c>
      <c r="D49" s="6">
        <v>15</v>
      </c>
      <c r="E49" s="6">
        <f t="shared" si="0"/>
        <v>47</v>
      </c>
      <c r="F49" s="6">
        <v>10</v>
      </c>
      <c r="G49" s="4">
        <v>105</v>
      </c>
      <c r="H49" s="4">
        <v>140</v>
      </c>
      <c r="I49" s="4">
        <f t="shared" si="1"/>
        <v>1400</v>
      </c>
      <c r="J49" s="4">
        <f t="shared" si="2"/>
        <v>1050</v>
      </c>
      <c r="K49" s="4">
        <f t="shared" si="3"/>
        <v>350</v>
      </c>
    </row>
    <row r="50" spans="1:11" x14ac:dyDescent="0.25">
      <c r="A50" s="2" t="s">
        <v>71</v>
      </c>
      <c r="B50" s="6" t="s">
        <v>17</v>
      </c>
      <c r="C50" s="6">
        <v>40</v>
      </c>
      <c r="D50" s="6">
        <v>18</v>
      </c>
      <c r="E50" s="6">
        <f t="shared" si="0"/>
        <v>43</v>
      </c>
      <c r="F50" s="6">
        <v>15</v>
      </c>
      <c r="G50" s="4">
        <v>10</v>
      </c>
      <c r="H50" s="4">
        <v>20</v>
      </c>
      <c r="I50" s="4">
        <f t="shared" si="1"/>
        <v>300</v>
      </c>
      <c r="J50" s="4">
        <f t="shared" si="2"/>
        <v>150</v>
      </c>
      <c r="K50" s="4">
        <f t="shared" si="3"/>
        <v>150</v>
      </c>
    </row>
    <row r="51" spans="1:11" x14ac:dyDescent="0.25">
      <c r="A51" s="2" t="s">
        <v>72</v>
      </c>
      <c r="B51" s="6" t="s">
        <v>17</v>
      </c>
      <c r="C51" s="6">
        <v>31</v>
      </c>
      <c r="D51" s="6">
        <v>24</v>
      </c>
      <c r="E51" s="6">
        <f t="shared" si="0"/>
        <v>44</v>
      </c>
      <c r="F51" s="6">
        <v>11</v>
      </c>
      <c r="G51" s="4">
        <v>8</v>
      </c>
      <c r="H51" s="4">
        <v>15</v>
      </c>
      <c r="I51" s="4">
        <f t="shared" si="1"/>
        <v>165</v>
      </c>
      <c r="J51" s="4">
        <f t="shared" si="2"/>
        <v>88</v>
      </c>
      <c r="K51" s="4">
        <f t="shared" si="3"/>
        <v>77</v>
      </c>
    </row>
    <row r="52" spans="1:11" x14ac:dyDescent="0.25">
      <c r="A52" s="2" t="s">
        <v>73</v>
      </c>
      <c r="B52" s="6" t="s">
        <v>17</v>
      </c>
      <c r="C52" s="6">
        <v>29</v>
      </c>
      <c r="D52" s="6">
        <v>21</v>
      </c>
      <c r="E52" s="6">
        <f t="shared" si="0"/>
        <v>36</v>
      </c>
      <c r="F52" s="6">
        <v>14</v>
      </c>
      <c r="G52" s="4">
        <v>12</v>
      </c>
      <c r="H52" s="4">
        <v>20</v>
      </c>
      <c r="I52" s="4">
        <f t="shared" si="1"/>
        <v>280</v>
      </c>
      <c r="J52" s="4">
        <f t="shared" si="2"/>
        <v>168</v>
      </c>
      <c r="K52" s="4">
        <f t="shared" si="3"/>
        <v>112</v>
      </c>
    </row>
    <row r="53" spans="1:11" x14ac:dyDescent="0.25">
      <c r="A53" s="2" t="s">
        <v>92</v>
      </c>
      <c r="B53" s="6" t="s">
        <v>17</v>
      </c>
      <c r="C53" s="6">
        <v>35</v>
      </c>
      <c r="D53" s="6">
        <v>14</v>
      </c>
      <c r="E53" s="6">
        <f t="shared" si="0"/>
        <v>37</v>
      </c>
      <c r="F53" s="6">
        <v>12</v>
      </c>
      <c r="G53" s="4">
        <v>12</v>
      </c>
      <c r="H53" s="4">
        <v>20</v>
      </c>
      <c r="I53" s="4">
        <f t="shared" si="1"/>
        <v>240</v>
      </c>
      <c r="J53" s="4">
        <f t="shared" si="2"/>
        <v>144</v>
      </c>
      <c r="K53" s="4">
        <f t="shared" si="3"/>
        <v>96</v>
      </c>
    </row>
    <row r="54" spans="1:11" x14ac:dyDescent="0.25">
      <c r="A54" s="2" t="s">
        <v>74</v>
      </c>
      <c r="B54" s="6" t="s">
        <v>82</v>
      </c>
      <c r="C54" s="6">
        <v>36</v>
      </c>
      <c r="D54" s="6">
        <v>9</v>
      </c>
      <c r="E54" s="6">
        <f t="shared" si="0"/>
        <v>36</v>
      </c>
      <c r="F54" s="6">
        <v>9</v>
      </c>
      <c r="G54" s="4">
        <v>140</v>
      </c>
      <c r="H54" s="4">
        <v>185</v>
      </c>
      <c r="I54" s="4">
        <f t="shared" si="1"/>
        <v>1665</v>
      </c>
      <c r="J54" s="4">
        <f t="shared" si="2"/>
        <v>1260</v>
      </c>
      <c r="K54" s="4">
        <f t="shared" si="3"/>
        <v>405</v>
      </c>
    </row>
    <row r="55" spans="1:11" x14ac:dyDescent="0.25">
      <c r="A55" s="2" t="s">
        <v>75</v>
      </c>
      <c r="B55" s="6" t="s">
        <v>82</v>
      </c>
      <c r="C55" s="6">
        <v>42</v>
      </c>
      <c r="D55" s="6">
        <v>5</v>
      </c>
      <c r="E55" s="6">
        <f t="shared" si="0"/>
        <v>37</v>
      </c>
      <c r="F55" s="6">
        <v>10</v>
      </c>
      <c r="G55" s="4">
        <v>140</v>
      </c>
      <c r="H55" s="4">
        <v>170</v>
      </c>
      <c r="I55" s="4">
        <f t="shared" si="1"/>
        <v>1700</v>
      </c>
      <c r="J55" s="4">
        <f t="shared" si="2"/>
        <v>1400</v>
      </c>
      <c r="K55" s="4">
        <f t="shared" si="3"/>
        <v>300</v>
      </c>
    </row>
    <row r="56" spans="1:11" x14ac:dyDescent="0.25">
      <c r="A56" s="2" t="s">
        <v>76</v>
      </c>
      <c r="B56" s="6" t="s">
        <v>82</v>
      </c>
      <c r="C56" s="6">
        <v>29</v>
      </c>
      <c r="D56" s="6">
        <v>11</v>
      </c>
      <c r="E56" s="6">
        <f t="shared" si="0"/>
        <v>31</v>
      </c>
      <c r="F56" s="6">
        <v>9</v>
      </c>
      <c r="G56" s="4">
        <v>185</v>
      </c>
      <c r="H56" s="4">
        <v>230</v>
      </c>
      <c r="I56" s="4">
        <f t="shared" si="1"/>
        <v>2070</v>
      </c>
      <c r="J56" s="4">
        <f t="shared" si="2"/>
        <v>1665</v>
      </c>
      <c r="K56" s="4">
        <f t="shared" si="3"/>
        <v>405</v>
      </c>
    </row>
    <row r="57" spans="1:11" x14ac:dyDescent="0.25">
      <c r="A57" s="2" t="s">
        <v>77</v>
      </c>
      <c r="B57" s="6" t="s">
        <v>82</v>
      </c>
      <c r="C57" s="6">
        <v>29</v>
      </c>
      <c r="D57" s="6">
        <v>10</v>
      </c>
      <c r="E57" s="6">
        <f t="shared" si="0"/>
        <v>34</v>
      </c>
      <c r="F57" s="6">
        <v>5</v>
      </c>
      <c r="G57" s="4">
        <v>160</v>
      </c>
      <c r="H57" s="4">
        <v>200</v>
      </c>
      <c r="I57" s="4">
        <f t="shared" si="1"/>
        <v>1000</v>
      </c>
      <c r="J57" s="4">
        <f t="shared" si="2"/>
        <v>800</v>
      </c>
      <c r="K57" s="4">
        <f t="shared" si="3"/>
        <v>200</v>
      </c>
    </row>
    <row r="58" spans="1:11" x14ac:dyDescent="0.25">
      <c r="A58" s="2" t="s">
        <v>78</v>
      </c>
      <c r="B58" s="6" t="s">
        <v>82</v>
      </c>
      <c r="C58" s="6">
        <v>35</v>
      </c>
      <c r="D58" s="6">
        <v>13</v>
      </c>
      <c r="E58" s="6">
        <f t="shared" si="0"/>
        <v>37</v>
      </c>
      <c r="F58" s="6">
        <v>11</v>
      </c>
      <c r="G58" s="4">
        <v>75</v>
      </c>
      <c r="H58" s="4">
        <v>105</v>
      </c>
      <c r="I58" s="4">
        <f t="shared" si="1"/>
        <v>1155</v>
      </c>
      <c r="J58" s="4">
        <f t="shared" si="2"/>
        <v>825</v>
      </c>
      <c r="K58" s="4">
        <f t="shared" si="3"/>
        <v>330</v>
      </c>
    </row>
    <row r="59" spans="1:11" x14ac:dyDescent="0.25">
      <c r="A59" s="2" t="s">
        <v>79</v>
      </c>
      <c r="B59" s="6" t="s">
        <v>82</v>
      </c>
      <c r="C59" s="6">
        <v>30</v>
      </c>
      <c r="D59" s="6">
        <v>12</v>
      </c>
      <c r="E59" s="6">
        <f t="shared" si="0"/>
        <v>34</v>
      </c>
      <c r="F59" s="6">
        <v>8</v>
      </c>
      <c r="G59" s="4">
        <v>40</v>
      </c>
      <c r="H59" s="4">
        <v>60</v>
      </c>
      <c r="I59" s="4">
        <f t="shared" si="1"/>
        <v>480</v>
      </c>
      <c r="J59" s="4">
        <f t="shared" si="2"/>
        <v>320</v>
      </c>
      <c r="K59" s="4">
        <f t="shared" si="3"/>
        <v>160</v>
      </c>
    </row>
    <row r="60" spans="1:11" x14ac:dyDescent="0.25">
      <c r="A60" s="2" t="s">
        <v>83</v>
      </c>
      <c r="B60" s="6" t="s">
        <v>85</v>
      </c>
      <c r="C60" s="6">
        <v>60</v>
      </c>
      <c r="D60" s="6">
        <v>18</v>
      </c>
      <c r="E60" s="6">
        <f t="shared" si="0"/>
        <v>63</v>
      </c>
      <c r="F60" s="6">
        <v>15</v>
      </c>
      <c r="G60" s="4">
        <v>18</v>
      </c>
      <c r="H60" s="4">
        <v>30</v>
      </c>
      <c r="I60" s="4">
        <f t="shared" si="1"/>
        <v>450</v>
      </c>
      <c r="J60" s="4">
        <f t="shared" si="2"/>
        <v>270</v>
      </c>
      <c r="K60" s="4">
        <f t="shared" si="3"/>
        <v>180</v>
      </c>
    </row>
    <row r="61" spans="1:11" x14ac:dyDescent="0.25">
      <c r="A61" s="2" t="s">
        <v>84</v>
      </c>
      <c r="B61" s="6" t="s">
        <v>85</v>
      </c>
      <c r="C61" s="6">
        <v>54</v>
      </c>
      <c r="D61" s="6">
        <v>21</v>
      </c>
      <c r="E61" s="6">
        <f t="shared" si="0"/>
        <v>59</v>
      </c>
      <c r="F61" s="6">
        <v>16</v>
      </c>
      <c r="G61" s="4">
        <v>25</v>
      </c>
      <c r="H61" s="4">
        <v>40</v>
      </c>
      <c r="I61" s="4">
        <f t="shared" si="1"/>
        <v>640</v>
      </c>
      <c r="J61" s="4">
        <f t="shared" si="2"/>
        <v>400</v>
      </c>
      <c r="K61" s="4">
        <f t="shared" si="3"/>
        <v>240</v>
      </c>
    </row>
    <row r="62" spans="1:11" x14ac:dyDescent="0.25">
      <c r="A62" s="2" t="s">
        <v>86</v>
      </c>
      <c r="B62" s="6" t="s">
        <v>85</v>
      </c>
      <c r="C62" s="6">
        <v>50</v>
      </c>
      <c r="D62" s="6">
        <v>22</v>
      </c>
      <c r="E62" s="6">
        <f t="shared" si="0"/>
        <v>57</v>
      </c>
      <c r="F62" s="6">
        <v>15</v>
      </c>
      <c r="G62" s="4">
        <v>10</v>
      </c>
      <c r="H62" s="4">
        <v>15</v>
      </c>
      <c r="I62" s="4">
        <f t="shared" si="1"/>
        <v>225</v>
      </c>
      <c r="J62" s="4">
        <f t="shared" si="2"/>
        <v>150</v>
      </c>
      <c r="K62" s="4">
        <f t="shared" si="3"/>
        <v>75</v>
      </c>
    </row>
    <row r="63" spans="1:11" x14ac:dyDescent="0.25">
      <c r="A63" s="2" t="s">
        <v>88</v>
      </c>
      <c r="B63" s="6" t="s">
        <v>10</v>
      </c>
      <c r="C63" s="6">
        <v>57</v>
      </c>
      <c r="D63" s="6">
        <v>15</v>
      </c>
      <c r="E63" s="6">
        <f t="shared" si="0"/>
        <v>50</v>
      </c>
      <c r="F63" s="6">
        <v>22</v>
      </c>
      <c r="G63" s="4">
        <v>5</v>
      </c>
      <c r="H63" s="4">
        <v>8</v>
      </c>
      <c r="I63" s="4">
        <f t="shared" si="1"/>
        <v>176</v>
      </c>
      <c r="J63" s="4">
        <f t="shared" si="2"/>
        <v>110</v>
      </c>
      <c r="K63" s="4">
        <f t="shared" si="3"/>
        <v>66</v>
      </c>
    </row>
    <row r="64" spans="1:11" x14ac:dyDescent="0.25">
      <c r="A64" s="2" t="s">
        <v>87</v>
      </c>
      <c r="B64" s="6" t="s">
        <v>10</v>
      </c>
      <c r="C64" s="6">
        <v>54</v>
      </c>
      <c r="D64" s="6">
        <v>26</v>
      </c>
      <c r="E64" s="6">
        <f t="shared" si="0"/>
        <v>65</v>
      </c>
      <c r="F64" s="6">
        <v>15</v>
      </c>
      <c r="G64" s="4">
        <v>7</v>
      </c>
      <c r="H64" s="4">
        <v>15</v>
      </c>
      <c r="I64" s="4">
        <f t="shared" si="1"/>
        <v>225</v>
      </c>
      <c r="J64" s="4">
        <f t="shared" si="2"/>
        <v>105</v>
      </c>
      <c r="K64" s="4">
        <f t="shared" si="3"/>
        <v>120</v>
      </c>
    </row>
    <row r="65" spans="1:11" x14ac:dyDescent="0.25">
      <c r="A65" s="2" t="s">
        <v>89</v>
      </c>
      <c r="B65" s="6" t="s">
        <v>10</v>
      </c>
      <c r="C65" s="6">
        <v>56</v>
      </c>
      <c r="D65" s="6">
        <v>18</v>
      </c>
      <c r="E65" s="6">
        <f t="shared" si="0"/>
        <v>56</v>
      </c>
      <c r="F65" s="6">
        <v>18</v>
      </c>
      <c r="G65" s="4">
        <v>2</v>
      </c>
      <c r="H65" s="4">
        <v>5</v>
      </c>
      <c r="I65" s="4">
        <f t="shared" si="1"/>
        <v>90</v>
      </c>
      <c r="J65" s="4">
        <f t="shared" si="2"/>
        <v>36</v>
      </c>
      <c r="K65" s="4">
        <f t="shared" si="3"/>
        <v>54</v>
      </c>
    </row>
  </sheetData>
  <autoFilter ref="A1:K1" xr:uid="{C481A03F-9AC2-4B09-AB30-68C012BAFA9C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2A80-34C8-4B81-8972-B0B37BDA21DC}">
  <dimension ref="A1:K65"/>
  <sheetViews>
    <sheetView topLeftCell="A30" zoomScaleNormal="100" workbookViewId="0">
      <selection activeCell="F2" sqref="F2:F65"/>
    </sheetView>
  </sheetViews>
  <sheetFormatPr defaultRowHeight="15" x14ac:dyDescent="0.25"/>
  <cols>
    <col min="1" max="1" width="67.28515625" bestFit="1" customWidth="1"/>
    <col min="2" max="2" width="25.5703125" bestFit="1" customWidth="1"/>
    <col min="3" max="3" width="14.7109375" bestFit="1" customWidth="1"/>
    <col min="4" max="4" width="12.5703125" bestFit="1" customWidth="1"/>
    <col min="5" max="5" width="13.5703125" customWidth="1"/>
    <col min="6" max="6" width="14" bestFit="1" customWidth="1"/>
    <col min="7" max="7" width="17.42578125" customWidth="1"/>
    <col min="8" max="8" width="14.85546875" customWidth="1"/>
    <col min="9" max="9" width="16.42578125" customWidth="1"/>
    <col min="10" max="10" width="15.28515625" customWidth="1"/>
    <col min="11" max="11" width="13.7109375" customWidth="1"/>
  </cols>
  <sheetData>
    <row r="1" spans="1:11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22</v>
      </c>
      <c r="B2" s="6" t="s">
        <v>19</v>
      </c>
      <c r="C2" s="6">
        <v>49</v>
      </c>
      <c r="D2" s="6">
        <v>52</v>
      </c>
      <c r="E2" s="6">
        <f>C2+D2-F2</f>
        <v>52</v>
      </c>
      <c r="F2" s="6">
        <v>49</v>
      </c>
      <c r="G2" s="4">
        <v>90</v>
      </c>
      <c r="H2" s="4">
        <v>120</v>
      </c>
      <c r="I2" s="4">
        <f>F2*H2</f>
        <v>5880</v>
      </c>
      <c r="J2" s="4">
        <f>F2*G2</f>
        <v>4410</v>
      </c>
      <c r="K2" s="4">
        <f>I2-J2</f>
        <v>1470</v>
      </c>
    </row>
    <row r="3" spans="1:11" x14ac:dyDescent="0.25">
      <c r="A3" s="2" t="s">
        <v>21</v>
      </c>
      <c r="B3" s="6" t="s">
        <v>19</v>
      </c>
      <c r="C3" s="6">
        <v>43</v>
      </c>
      <c r="D3" s="6">
        <v>48</v>
      </c>
      <c r="E3" s="6">
        <f t="shared" ref="E3:E65" si="0">C3+D3-F3</f>
        <v>46</v>
      </c>
      <c r="F3" s="6">
        <v>45</v>
      </c>
      <c r="G3" s="4">
        <v>135</v>
      </c>
      <c r="H3" s="4">
        <v>160</v>
      </c>
      <c r="I3" s="4">
        <f t="shared" ref="I3:I65" si="1">F3*H3</f>
        <v>7200</v>
      </c>
      <c r="J3" s="4">
        <f t="shared" ref="J3:J65" si="2">F3*G3</f>
        <v>6075</v>
      </c>
      <c r="K3" s="4">
        <f t="shared" ref="K3:K65" si="3">I3-J3</f>
        <v>1125</v>
      </c>
    </row>
    <row r="4" spans="1:11" x14ac:dyDescent="0.25">
      <c r="A4" s="2" t="s">
        <v>20</v>
      </c>
      <c r="B4" s="6" t="s">
        <v>19</v>
      </c>
      <c r="C4" s="6">
        <v>54</v>
      </c>
      <c r="D4" s="6">
        <v>40</v>
      </c>
      <c r="E4" s="6">
        <f t="shared" si="0"/>
        <v>57</v>
      </c>
      <c r="F4" s="6">
        <v>37</v>
      </c>
      <c r="G4" s="4">
        <v>165</v>
      </c>
      <c r="H4" s="4">
        <v>185</v>
      </c>
      <c r="I4" s="4">
        <f t="shared" si="1"/>
        <v>6845</v>
      </c>
      <c r="J4" s="4">
        <f t="shared" si="2"/>
        <v>6105</v>
      </c>
      <c r="K4" s="4">
        <f t="shared" si="3"/>
        <v>740</v>
      </c>
    </row>
    <row r="5" spans="1:11" x14ac:dyDescent="0.25">
      <c r="A5" s="2" t="s">
        <v>23</v>
      </c>
      <c r="B5" s="6" t="s">
        <v>32</v>
      </c>
      <c r="C5" s="6">
        <v>39</v>
      </c>
      <c r="D5" s="6">
        <v>43</v>
      </c>
      <c r="E5" s="6">
        <f t="shared" si="0"/>
        <v>41</v>
      </c>
      <c r="F5" s="6">
        <v>41</v>
      </c>
      <c r="G5" s="4">
        <v>25</v>
      </c>
      <c r="H5" s="4">
        <v>35</v>
      </c>
      <c r="I5" s="4">
        <f t="shared" si="1"/>
        <v>1435</v>
      </c>
      <c r="J5" s="4">
        <f t="shared" si="2"/>
        <v>1025</v>
      </c>
      <c r="K5" s="4">
        <f t="shared" si="3"/>
        <v>410</v>
      </c>
    </row>
    <row r="6" spans="1:11" x14ac:dyDescent="0.25">
      <c r="A6" s="2" t="s">
        <v>24</v>
      </c>
      <c r="B6" s="6" t="s">
        <v>32</v>
      </c>
      <c r="C6" s="6">
        <v>52</v>
      </c>
      <c r="D6" s="6">
        <v>38</v>
      </c>
      <c r="E6" s="6">
        <f t="shared" si="0"/>
        <v>43</v>
      </c>
      <c r="F6" s="6">
        <v>47</v>
      </c>
      <c r="G6" s="4">
        <v>30</v>
      </c>
      <c r="H6" s="4">
        <v>55</v>
      </c>
      <c r="I6" s="4">
        <f t="shared" si="1"/>
        <v>2585</v>
      </c>
      <c r="J6" s="4">
        <f t="shared" si="2"/>
        <v>1410</v>
      </c>
      <c r="K6" s="4">
        <f t="shared" si="3"/>
        <v>1175</v>
      </c>
    </row>
    <row r="7" spans="1:11" x14ac:dyDescent="0.25">
      <c r="A7" s="2" t="s">
        <v>25</v>
      </c>
      <c r="B7" s="6" t="s">
        <v>32</v>
      </c>
      <c r="C7" s="6">
        <v>41</v>
      </c>
      <c r="D7" s="6">
        <v>51</v>
      </c>
      <c r="E7" s="6">
        <f t="shared" si="0"/>
        <v>44</v>
      </c>
      <c r="F7" s="6">
        <v>48</v>
      </c>
      <c r="G7" s="4">
        <v>18</v>
      </c>
      <c r="H7" s="4">
        <v>30</v>
      </c>
      <c r="I7" s="4">
        <f t="shared" si="1"/>
        <v>1440</v>
      </c>
      <c r="J7" s="4">
        <f t="shared" si="2"/>
        <v>864</v>
      </c>
      <c r="K7" s="4">
        <f t="shared" si="3"/>
        <v>576</v>
      </c>
    </row>
    <row r="8" spans="1:11" x14ac:dyDescent="0.25">
      <c r="A8" s="2" t="s">
        <v>26</v>
      </c>
      <c r="B8" s="6" t="s">
        <v>32</v>
      </c>
      <c r="C8" s="6">
        <v>61</v>
      </c>
      <c r="D8" s="6">
        <v>60</v>
      </c>
      <c r="E8" s="6">
        <f t="shared" si="0"/>
        <v>68</v>
      </c>
      <c r="F8" s="6">
        <v>53</v>
      </c>
      <c r="G8" s="4">
        <v>50</v>
      </c>
      <c r="H8" s="4">
        <v>65</v>
      </c>
      <c r="I8" s="4">
        <f t="shared" si="1"/>
        <v>3445</v>
      </c>
      <c r="J8" s="4">
        <f t="shared" si="2"/>
        <v>2650</v>
      </c>
      <c r="K8" s="4">
        <f t="shared" si="3"/>
        <v>795</v>
      </c>
    </row>
    <row r="9" spans="1:11" x14ac:dyDescent="0.25">
      <c r="A9" s="2" t="s">
        <v>27</v>
      </c>
      <c r="B9" s="6" t="s">
        <v>33</v>
      </c>
      <c r="C9" s="6">
        <v>41</v>
      </c>
      <c r="D9" s="6">
        <v>28</v>
      </c>
      <c r="E9" s="6">
        <f t="shared" si="0"/>
        <v>38</v>
      </c>
      <c r="F9" s="6">
        <v>31</v>
      </c>
      <c r="G9" s="4">
        <v>35</v>
      </c>
      <c r="H9" s="4">
        <v>50</v>
      </c>
      <c r="I9" s="4">
        <f t="shared" si="1"/>
        <v>1550</v>
      </c>
      <c r="J9" s="4">
        <f t="shared" si="2"/>
        <v>1085</v>
      </c>
      <c r="K9" s="4">
        <f t="shared" si="3"/>
        <v>465</v>
      </c>
    </row>
    <row r="10" spans="1:11" x14ac:dyDescent="0.25">
      <c r="A10" s="2" t="s">
        <v>28</v>
      </c>
      <c r="B10" s="6" t="s">
        <v>33</v>
      </c>
      <c r="C10" s="6">
        <v>36</v>
      </c>
      <c r="D10" s="6">
        <v>43</v>
      </c>
      <c r="E10" s="6">
        <f t="shared" si="0"/>
        <v>45</v>
      </c>
      <c r="F10" s="6">
        <v>34</v>
      </c>
      <c r="G10" s="4">
        <v>22</v>
      </c>
      <c r="H10" s="4">
        <v>40</v>
      </c>
      <c r="I10" s="4">
        <f t="shared" si="1"/>
        <v>1360</v>
      </c>
      <c r="J10" s="4">
        <f t="shared" si="2"/>
        <v>748</v>
      </c>
      <c r="K10" s="4">
        <f t="shared" si="3"/>
        <v>612</v>
      </c>
    </row>
    <row r="11" spans="1:11" x14ac:dyDescent="0.25">
      <c r="A11" s="2" t="s">
        <v>29</v>
      </c>
      <c r="B11" s="6" t="s">
        <v>16</v>
      </c>
      <c r="C11" s="6">
        <v>38</v>
      </c>
      <c r="D11" s="6">
        <v>36</v>
      </c>
      <c r="E11" s="6">
        <f t="shared" si="0"/>
        <v>43</v>
      </c>
      <c r="F11" s="6">
        <v>31</v>
      </c>
      <c r="G11" s="4">
        <v>190</v>
      </c>
      <c r="H11" s="4">
        <v>220</v>
      </c>
      <c r="I11" s="4">
        <f t="shared" si="1"/>
        <v>6820</v>
      </c>
      <c r="J11" s="4">
        <f t="shared" si="2"/>
        <v>5890</v>
      </c>
      <c r="K11" s="4">
        <f t="shared" si="3"/>
        <v>930</v>
      </c>
    </row>
    <row r="12" spans="1:11" x14ac:dyDescent="0.25">
      <c r="A12" s="2" t="s">
        <v>30</v>
      </c>
      <c r="B12" s="6" t="s">
        <v>16</v>
      </c>
      <c r="C12" s="6">
        <v>52</v>
      </c>
      <c r="D12" s="6">
        <v>27</v>
      </c>
      <c r="E12" s="6">
        <f t="shared" si="0"/>
        <v>50</v>
      </c>
      <c r="F12" s="6">
        <v>29</v>
      </c>
      <c r="G12" s="4">
        <v>65</v>
      </c>
      <c r="H12" s="4">
        <v>85</v>
      </c>
      <c r="I12" s="4">
        <f t="shared" si="1"/>
        <v>2465</v>
      </c>
      <c r="J12" s="4">
        <f t="shared" si="2"/>
        <v>1885</v>
      </c>
      <c r="K12" s="4">
        <f t="shared" si="3"/>
        <v>580</v>
      </c>
    </row>
    <row r="13" spans="1:11" x14ac:dyDescent="0.25">
      <c r="A13" s="2" t="s">
        <v>31</v>
      </c>
      <c r="B13" s="6" t="s">
        <v>16</v>
      </c>
      <c r="C13" s="6">
        <v>43</v>
      </c>
      <c r="D13" s="6">
        <v>50</v>
      </c>
      <c r="E13" s="6">
        <f t="shared" si="0"/>
        <v>50</v>
      </c>
      <c r="F13" s="6">
        <v>43</v>
      </c>
      <c r="G13" s="4">
        <v>30</v>
      </c>
      <c r="H13" s="4">
        <v>42</v>
      </c>
      <c r="I13" s="4">
        <f t="shared" si="1"/>
        <v>1806</v>
      </c>
      <c r="J13" s="4">
        <f t="shared" si="2"/>
        <v>1290</v>
      </c>
      <c r="K13" s="4">
        <f t="shared" si="3"/>
        <v>516</v>
      </c>
    </row>
    <row r="14" spans="1:11" x14ac:dyDescent="0.25">
      <c r="A14" s="2" t="s">
        <v>34</v>
      </c>
      <c r="B14" s="6" t="s">
        <v>38</v>
      </c>
      <c r="C14" s="6">
        <v>49</v>
      </c>
      <c r="D14" s="6">
        <v>52</v>
      </c>
      <c r="E14" s="6">
        <f t="shared" si="0"/>
        <v>57</v>
      </c>
      <c r="F14" s="6">
        <v>44</v>
      </c>
      <c r="G14" s="4">
        <v>25</v>
      </c>
      <c r="H14" s="4">
        <v>40</v>
      </c>
      <c r="I14" s="4">
        <f t="shared" si="1"/>
        <v>1760</v>
      </c>
      <c r="J14" s="4">
        <f t="shared" si="2"/>
        <v>1100</v>
      </c>
      <c r="K14" s="4">
        <f t="shared" si="3"/>
        <v>660</v>
      </c>
    </row>
    <row r="15" spans="1:11" x14ac:dyDescent="0.25">
      <c r="A15" s="2" t="s">
        <v>35</v>
      </c>
      <c r="B15" s="6" t="s">
        <v>38</v>
      </c>
      <c r="C15" s="6">
        <v>56</v>
      </c>
      <c r="D15" s="6">
        <v>45</v>
      </c>
      <c r="E15" s="6">
        <f t="shared" si="0"/>
        <v>65</v>
      </c>
      <c r="F15" s="6">
        <v>36</v>
      </c>
      <c r="G15" s="4">
        <v>45</v>
      </c>
      <c r="H15" s="4">
        <v>60</v>
      </c>
      <c r="I15" s="4">
        <f t="shared" si="1"/>
        <v>2160</v>
      </c>
      <c r="J15" s="4">
        <f t="shared" si="2"/>
        <v>1620</v>
      </c>
      <c r="K15" s="4">
        <f t="shared" si="3"/>
        <v>540</v>
      </c>
    </row>
    <row r="16" spans="1:11" x14ac:dyDescent="0.25">
      <c r="A16" s="2" t="s">
        <v>36</v>
      </c>
      <c r="B16" s="6" t="s">
        <v>38</v>
      </c>
      <c r="C16" s="6">
        <v>35</v>
      </c>
      <c r="D16" s="6">
        <v>47</v>
      </c>
      <c r="E16" s="6">
        <f t="shared" si="0"/>
        <v>43</v>
      </c>
      <c r="F16" s="6">
        <v>39</v>
      </c>
      <c r="G16" s="4">
        <v>40</v>
      </c>
      <c r="H16" s="4">
        <v>60</v>
      </c>
      <c r="I16" s="4">
        <f t="shared" si="1"/>
        <v>2340</v>
      </c>
      <c r="J16" s="4">
        <f t="shared" si="2"/>
        <v>1560</v>
      </c>
      <c r="K16" s="4">
        <f t="shared" si="3"/>
        <v>780</v>
      </c>
    </row>
    <row r="17" spans="1:11" x14ac:dyDescent="0.25">
      <c r="A17" s="2" t="s">
        <v>37</v>
      </c>
      <c r="B17" s="6" t="s">
        <v>38</v>
      </c>
      <c r="C17" s="6">
        <v>36</v>
      </c>
      <c r="D17" s="6">
        <v>38</v>
      </c>
      <c r="E17" s="6">
        <f t="shared" si="0"/>
        <v>39</v>
      </c>
      <c r="F17" s="6">
        <v>35</v>
      </c>
      <c r="G17" s="4">
        <v>65</v>
      </c>
      <c r="H17" s="4">
        <v>80</v>
      </c>
      <c r="I17" s="4">
        <f t="shared" si="1"/>
        <v>2800</v>
      </c>
      <c r="J17" s="4">
        <f t="shared" si="2"/>
        <v>2275</v>
      </c>
      <c r="K17" s="4">
        <f t="shared" si="3"/>
        <v>525</v>
      </c>
    </row>
    <row r="18" spans="1:11" x14ac:dyDescent="0.25">
      <c r="A18" s="2" t="s">
        <v>39</v>
      </c>
      <c r="B18" s="6" t="s">
        <v>40</v>
      </c>
      <c r="C18" s="6">
        <v>58</v>
      </c>
      <c r="D18" s="6">
        <v>37</v>
      </c>
      <c r="E18" s="6">
        <f t="shared" si="0"/>
        <v>54</v>
      </c>
      <c r="F18" s="6">
        <v>41</v>
      </c>
      <c r="G18" s="4">
        <v>80</v>
      </c>
      <c r="H18" s="4">
        <v>100</v>
      </c>
      <c r="I18" s="4">
        <f t="shared" si="1"/>
        <v>4100</v>
      </c>
      <c r="J18" s="4">
        <f t="shared" si="2"/>
        <v>3280</v>
      </c>
      <c r="K18" s="4">
        <f t="shared" si="3"/>
        <v>820</v>
      </c>
    </row>
    <row r="19" spans="1:11" x14ac:dyDescent="0.25">
      <c r="A19" s="2" t="s">
        <v>41</v>
      </c>
      <c r="B19" s="6" t="s">
        <v>40</v>
      </c>
      <c r="C19" s="6">
        <v>44</v>
      </c>
      <c r="D19" s="6">
        <v>43</v>
      </c>
      <c r="E19" s="6">
        <f t="shared" si="0"/>
        <v>44</v>
      </c>
      <c r="F19" s="6">
        <v>43</v>
      </c>
      <c r="G19" s="4">
        <v>35</v>
      </c>
      <c r="H19" s="4">
        <v>50</v>
      </c>
      <c r="I19" s="4">
        <f t="shared" si="1"/>
        <v>2150</v>
      </c>
      <c r="J19" s="4">
        <f t="shared" si="2"/>
        <v>1505</v>
      </c>
      <c r="K19" s="4">
        <f t="shared" si="3"/>
        <v>645</v>
      </c>
    </row>
    <row r="20" spans="1:11" x14ac:dyDescent="0.25">
      <c r="A20" s="2" t="s">
        <v>42</v>
      </c>
      <c r="B20" s="6" t="s">
        <v>40</v>
      </c>
      <c r="C20" s="6">
        <v>47</v>
      </c>
      <c r="D20" s="6">
        <v>35</v>
      </c>
      <c r="E20" s="6">
        <f t="shared" si="0"/>
        <v>50</v>
      </c>
      <c r="F20" s="6">
        <v>32</v>
      </c>
      <c r="G20" s="4">
        <v>45</v>
      </c>
      <c r="H20" s="4">
        <v>60</v>
      </c>
      <c r="I20" s="4">
        <f t="shared" si="1"/>
        <v>1920</v>
      </c>
      <c r="J20" s="4">
        <f t="shared" si="2"/>
        <v>1440</v>
      </c>
      <c r="K20" s="4">
        <f t="shared" si="3"/>
        <v>480</v>
      </c>
    </row>
    <row r="21" spans="1:11" x14ac:dyDescent="0.25">
      <c r="A21" s="2" t="s">
        <v>43</v>
      </c>
      <c r="B21" s="6" t="s">
        <v>40</v>
      </c>
      <c r="C21" s="6">
        <v>37</v>
      </c>
      <c r="D21" s="6">
        <v>28</v>
      </c>
      <c r="E21" s="6">
        <f t="shared" si="0"/>
        <v>39</v>
      </c>
      <c r="F21" s="6">
        <v>26</v>
      </c>
      <c r="G21" s="4">
        <v>70</v>
      </c>
      <c r="H21" s="4">
        <v>90</v>
      </c>
      <c r="I21" s="4">
        <f t="shared" si="1"/>
        <v>2340</v>
      </c>
      <c r="J21" s="4">
        <f t="shared" si="2"/>
        <v>1820</v>
      </c>
      <c r="K21" s="4">
        <f t="shared" si="3"/>
        <v>520</v>
      </c>
    </row>
    <row r="22" spans="1:11" x14ac:dyDescent="0.25">
      <c r="A22" s="2" t="s">
        <v>44</v>
      </c>
      <c r="B22" s="6" t="s">
        <v>40</v>
      </c>
      <c r="C22" s="6">
        <v>47</v>
      </c>
      <c r="D22" s="6">
        <v>27</v>
      </c>
      <c r="E22" s="6">
        <f t="shared" si="0"/>
        <v>45</v>
      </c>
      <c r="F22" s="6">
        <v>29</v>
      </c>
      <c r="G22" s="4">
        <v>85</v>
      </c>
      <c r="H22" s="4">
        <v>100</v>
      </c>
      <c r="I22" s="4">
        <f t="shared" si="1"/>
        <v>2900</v>
      </c>
      <c r="J22" s="4">
        <f t="shared" si="2"/>
        <v>2465</v>
      </c>
      <c r="K22" s="4">
        <f t="shared" si="3"/>
        <v>435</v>
      </c>
    </row>
    <row r="23" spans="1:11" x14ac:dyDescent="0.25">
      <c r="A23" s="2" t="s">
        <v>45</v>
      </c>
      <c r="B23" s="6" t="s">
        <v>40</v>
      </c>
      <c r="C23" s="6">
        <v>44</v>
      </c>
      <c r="D23" s="6">
        <v>32</v>
      </c>
      <c r="E23" s="6">
        <f t="shared" si="0"/>
        <v>44</v>
      </c>
      <c r="F23" s="6">
        <v>32</v>
      </c>
      <c r="G23" s="4">
        <v>80</v>
      </c>
      <c r="H23" s="4">
        <v>100</v>
      </c>
      <c r="I23" s="4">
        <f t="shared" si="1"/>
        <v>3200</v>
      </c>
      <c r="J23" s="4">
        <f t="shared" si="2"/>
        <v>2560</v>
      </c>
      <c r="K23" s="4">
        <f t="shared" si="3"/>
        <v>640</v>
      </c>
    </row>
    <row r="24" spans="1:11" x14ac:dyDescent="0.25">
      <c r="A24" s="2" t="s">
        <v>46</v>
      </c>
      <c r="B24" s="6" t="s">
        <v>40</v>
      </c>
      <c r="C24" s="6">
        <v>34</v>
      </c>
      <c r="D24" s="6">
        <v>33</v>
      </c>
      <c r="E24" s="6">
        <f t="shared" si="0"/>
        <v>41</v>
      </c>
      <c r="F24" s="6">
        <v>26</v>
      </c>
      <c r="G24" s="4">
        <v>35</v>
      </c>
      <c r="H24" s="4">
        <v>50</v>
      </c>
      <c r="I24" s="4">
        <f t="shared" si="1"/>
        <v>1300</v>
      </c>
      <c r="J24" s="4">
        <f t="shared" si="2"/>
        <v>910</v>
      </c>
      <c r="K24" s="4">
        <f t="shared" si="3"/>
        <v>390</v>
      </c>
    </row>
    <row r="25" spans="1:11" x14ac:dyDescent="0.25">
      <c r="A25" s="2" t="s">
        <v>47</v>
      </c>
      <c r="B25" s="6" t="s">
        <v>40</v>
      </c>
      <c r="C25" s="6">
        <v>29</v>
      </c>
      <c r="D25" s="6">
        <v>24</v>
      </c>
      <c r="E25" s="6">
        <f t="shared" si="0"/>
        <v>32</v>
      </c>
      <c r="F25" s="6">
        <v>21</v>
      </c>
      <c r="G25" s="4">
        <v>75</v>
      </c>
      <c r="H25" s="4">
        <v>100</v>
      </c>
      <c r="I25" s="4">
        <f t="shared" si="1"/>
        <v>2100</v>
      </c>
      <c r="J25" s="4">
        <f t="shared" si="2"/>
        <v>1575</v>
      </c>
      <c r="K25" s="4">
        <f t="shared" si="3"/>
        <v>525</v>
      </c>
    </row>
    <row r="26" spans="1:11" x14ac:dyDescent="0.25">
      <c r="A26" s="2" t="s">
        <v>48</v>
      </c>
      <c r="B26" s="6" t="s">
        <v>11</v>
      </c>
      <c r="C26" s="6">
        <v>19</v>
      </c>
      <c r="D26" s="6">
        <v>20</v>
      </c>
      <c r="E26" s="6">
        <f t="shared" si="0"/>
        <v>20</v>
      </c>
      <c r="F26" s="6">
        <v>19</v>
      </c>
      <c r="G26" s="4">
        <v>200</v>
      </c>
      <c r="H26" s="4">
        <v>250</v>
      </c>
      <c r="I26" s="4">
        <f t="shared" si="1"/>
        <v>4750</v>
      </c>
      <c r="J26" s="4">
        <f t="shared" si="2"/>
        <v>3800</v>
      </c>
      <c r="K26" s="4">
        <f t="shared" si="3"/>
        <v>950</v>
      </c>
    </row>
    <row r="27" spans="1:11" x14ac:dyDescent="0.25">
      <c r="A27" s="2" t="s">
        <v>49</v>
      </c>
      <c r="B27" s="6" t="s">
        <v>11</v>
      </c>
      <c r="C27" s="6">
        <v>12</v>
      </c>
      <c r="D27" s="6">
        <v>14</v>
      </c>
      <c r="E27" s="6">
        <f t="shared" si="0"/>
        <v>13</v>
      </c>
      <c r="F27" s="6">
        <v>13</v>
      </c>
      <c r="G27" s="4">
        <v>175</v>
      </c>
      <c r="H27" s="4">
        <v>200</v>
      </c>
      <c r="I27" s="4">
        <f t="shared" si="1"/>
        <v>2600</v>
      </c>
      <c r="J27" s="4">
        <f t="shared" si="2"/>
        <v>2275</v>
      </c>
      <c r="K27" s="4">
        <f t="shared" si="3"/>
        <v>325</v>
      </c>
    </row>
    <row r="28" spans="1:11" x14ac:dyDescent="0.25">
      <c r="A28" s="2" t="s">
        <v>50</v>
      </c>
      <c r="B28" s="6" t="s">
        <v>11</v>
      </c>
      <c r="C28" s="6">
        <v>16</v>
      </c>
      <c r="D28" s="6">
        <v>8</v>
      </c>
      <c r="E28" s="6">
        <f t="shared" si="0"/>
        <v>14</v>
      </c>
      <c r="F28" s="6">
        <v>10</v>
      </c>
      <c r="G28" s="4">
        <v>130</v>
      </c>
      <c r="H28" s="4">
        <v>155</v>
      </c>
      <c r="I28" s="4">
        <f t="shared" si="1"/>
        <v>1550</v>
      </c>
      <c r="J28" s="4">
        <f t="shared" si="2"/>
        <v>1300</v>
      </c>
      <c r="K28" s="4">
        <f t="shared" si="3"/>
        <v>250</v>
      </c>
    </row>
    <row r="29" spans="1:11" x14ac:dyDescent="0.25">
      <c r="A29" s="2" t="s">
        <v>51</v>
      </c>
      <c r="B29" s="6" t="s">
        <v>12</v>
      </c>
      <c r="C29" s="6">
        <v>41</v>
      </c>
      <c r="D29" s="6">
        <v>27</v>
      </c>
      <c r="E29" s="6">
        <f t="shared" si="0"/>
        <v>44</v>
      </c>
      <c r="F29" s="6">
        <v>24</v>
      </c>
      <c r="G29" s="4">
        <v>7</v>
      </c>
      <c r="H29" s="4">
        <v>12</v>
      </c>
      <c r="I29" s="4">
        <f t="shared" si="1"/>
        <v>288</v>
      </c>
      <c r="J29" s="4">
        <f t="shared" si="2"/>
        <v>168</v>
      </c>
      <c r="K29" s="4">
        <f t="shared" si="3"/>
        <v>120</v>
      </c>
    </row>
    <row r="30" spans="1:11" x14ac:dyDescent="0.25">
      <c r="A30" s="2" t="s">
        <v>52</v>
      </c>
      <c r="B30" s="6" t="s">
        <v>12</v>
      </c>
      <c r="C30" s="6">
        <v>37</v>
      </c>
      <c r="D30" s="6">
        <v>23</v>
      </c>
      <c r="E30" s="6">
        <f t="shared" si="0"/>
        <v>43</v>
      </c>
      <c r="F30" s="6">
        <v>17</v>
      </c>
      <c r="G30" s="4">
        <v>5</v>
      </c>
      <c r="H30" s="4">
        <v>10</v>
      </c>
      <c r="I30" s="4">
        <f t="shared" si="1"/>
        <v>170</v>
      </c>
      <c r="J30" s="4">
        <f t="shared" si="2"/>
        <v>85</v>
      </c>
      <c r="K30" s="4">
        <f t="shared" si="3"/>
        <v>85</v>
      </c>
    </row>
    <row r="31" spans="1:11" x14ac:dyDescent="0.25">
      <c r="A31" s="2" t="s">
        <v>53</v>
      </c>
      <c r="B31" s="6" t="s">
        <v>57</v>
      </c>
      <c r="C31" s="6">
        <v>54</v>
      </c>
      <c r="D31" s="6">
        <v>26</v>
      </c>
      <c r="E31" s="6">
        <f t="shared" si="0"/>
        <v>58</v>
      </c>
      <c r="F31" s="6">
        <v>22</v>
      </c>
      <c r="G31" s="4">
        <v>45</v>
      </c>
      <c r="H31" s="4">
        <v>60</v>
      </c>
      <c r="I31" s="4">
        <f t="shared" si="1"/>
        <v>1320</v>
      </c>
      <c r="J31" s="4">
        <f t="shared" si="2"/>
        <v>990</v>
      </c>
      <c r="K31" s="4">
        <f t="shared" si="3"/>
        <v>330</v>
      </c>
    </row>
    <row r="32" spans="1:11" x14ac:dyDescent="0.25">
      <c r="A32" s="2" t="s">
        <v>54</v>
      </c>
      <c r="B32" s="6" t="s">
        <v>57</v>
      </c>
      <c r="C32" s="6">
        <v>48</v>
      </c>
      <c r="D32" s="6">
        <v>20</v>
      </c>
      <c r="E32" s="6">
        <f t="shared" si="0"/>
        <v>49</v>
      </c>
      <c r="F32" s="6">
        <v>19</v>
      </c>
      <c r="G32" s="4">
        <v>65</v>
      </c>
      <c r="H32" s="4">
        <v>80</v>
      </c>
      <c r="I32" s="4">
        <f t="shared" si="1"/>
        <v>1520</v>
      </c>
      <c r="J32" s="4">
        <f t="shared" si="2"/>
        <v>1235</v>
      </c>
      <c r="K32" s="4">
        <f t="shared" si="3"/>
        <v>285</v>
      </c>
    </row>
    <row r="33" spans="1:11" x14ac:dyDescent="0.25">
      <c r="A33" s="2" t="s">
        <v>55</v>
      </c>
      <c r="B33" s="6" t="s">
        <v>57</v>
      </c>
      <c r="C33" s="6">
        <v>32</v>
      </c>
      <c r="D33" s="6">
        <v>31</v>
      </c>
      <c r="E33" s="6">
        <f t="shared" si="0"/>
        <v>38</v>
      </c>
      <c r="F33" s="6">
        <v>25</v>
      </c>
      <c r="G33" s="4">
        <v>25</v>
      </c>
      <c r="H33" s="4">
        <v>40</v>
      </c>
      <c r="I33" s="4">
        <f t="shared" si="1"/>
        <v>1000</v>
      </c>
      <c r="J33" s="4">
        <f t="shared" si="2"/>
        <v>625</v>
      </c>
      <c r="K33" s="4">
        <f t="shared" si="3"/>
        <v>375</v>
      </c>
    </row>
    <row r="34" spans="1:11" x14ac:dyDescent="0.25">
      <c r="A34" s="2" t="s">
        <v>56</v>
      </c>
      <c r="B34" s="6" t="s">
        <v>57</v>
      </c>
      <c r="C34" s="6">
        <v>35</v>
      </c>
      <c r="D34" s="6">
        <v>27</v>
      </c>
      <c r="E34" s="6">
        <f t="shared" si="0"/>
        <v>35</v>
      </c>
      <c r="F34" s="6">
        <v>27</v>
      </c>
      <c r="G34" s="4">
        <v>20</v>
      </c>
      <c r="H34" s="4">
        <v>25</v>
      </c>
      <c r="I34" s="4">
        <f t="shared" si="1"/>
        <v>675</v>
      </c>
      <c r="J34" s="4">
        <f t="shared" si="2"/>
        <v>540</v>
      </c>
      <c r="K34" s="4">
        <f t="shared" si="3"/>
        <v>135</v>
      </c>
    </row>
    <row r="35" spans="1:11" x14ac:dyDescent="0.25">
      <c r="A35" s="2" t="s">
        <v>58</v>
      </c>
      <c r="B35" s="6" t="s">
        <v>13</v>
      </c>
      <c r="C35" s="6">
        <v>14</v>
      </c>
      <c r="D35" s="6">
        <v>16</v>
      </c>
      <c r="E35" s="6">
        <f t="shared" si="0"/>
        <v>12</v>
      </c>
      <c r="F35" s="6">
        <v>18</v>
      </c>
      <c r="G35" s="4">
        <v>135</v>
      </c>
      <c r="H35" s="4">
        <v>170</v>
      </c>
      <c r="I35" s="4">
        <f t="shared" si="1"/>
        <v>3060</v>
      </c>
      <c r="J35" s="4">
        <f t="shared" si="2"/>
        <v>2430</v>
      </c>
      <c r="K35" s="4">
        <f t="shared" si="3"/>
        <v>630</v>
      </c>
    </row>
    <row r="36" spans="1:11" x14ac:dyDescent="0.25">
      <c r="A36" s="2" t="s">
        <v>59</v>
      </c>
      <c r="B36" s="6" t="s">
        <v>13</v>
      </c>
      <c r="C36" s="6">
        <v>12</v>
      </c>
      <c r="D36" s="6">
        <v>21</v>
      </c>
      <c r="E36" s="6">
        <f t="shared" si="0"/>
        <v>18</v>
      </c>
      <c r="F36" s="6">
        <v>15</v>
      </c>
      <c r="G36" s="4">
        <v>300</v>
      </c>
      <c r="H36" s="4">
        <v>360</v>
      </c>
      <c r="I36" s="4">
        <f t="shared" si="1"/>
        <v>5400</v>
      </c>
      <c r="J36" s="4">
        <f t="shared" si="2"/>
        <v>4500</v>
      </c>
      <c r="K36" s="4">
        <f t="shared" si="3"/>
        <v>900</v>
      </c>
    </row>
    <row r="37" spans="1:11" x14ac:dyDescent="0.25">
      <c r="A37" s="2" t="s">
        <v>60</v>
      </c>
      <c r="B37" s="6" t="s">
        <v>13</v>
      </c>
      <c r="C37" s="6">
        <v>35</v>
      </c>
      <c r="D37" s="6">
        <v>24</v>
      </c>
      <c r="E37" s="6">
        <f t="shared" si="0"/>
        <v>38</v>
      </c>
      <c r="F37" s="6">
        <v>21</v>
      </c>
      <c r="G37" s="4">
        <v>70</v>
      </c>
      <c r="H37" s="4">
        <v>90</v>
      </c>
      <c r="I37" s="4">
        <f t="shared" si="1"/>
        <v>1890</v>
      </c>
      <c r="J37" s="4">
        <f t="shared" si="2"/>
        <v>1470</v>
      </c>
      <c r="K37" s="4">
        <f t="shared" si="3"/>
        <v>420</v>
      </c>
    </row>
    <row r="38" spans="1:11" x14ac:dyDescent="0.25">
      <c r="A38" s="2" t="s">
        <v>61</v>
      </c>
      <c r="B38" s="6" t="s">
        <v>13</v>
      </c>
      <c r="C38" s="6">
        <v>19</v>
      </c>
      <c r="D38" s="6">
        <v>21</v>
      </c>
      <c r="E38" s="6">
        <f t="shared" si="0"/>
        <v>23</v>
      </c>
      <c r="F38" s="6">
        <v>17</v>
      </c>
      <c r="G38" s="4">
        <v>65</v>
      </c>
      <c r="H38" s="4">
        <v>100</v>
      </c>
      <c r="I38" s="4">
        <f t="shared" si="1"/>
        <v>1700</v>
      </c>
      <c r="J38" s="4">
        <f t="shared" si="2"/>
        <v>1105</v>
      </c>
      <c r="K38" s="4">
        <f t="shared" si="3"/>
        <v>595</v>
      </c>
    </row>
    <row r="39" spans="1:11" x14ac:dyDescent="0.25">
      <c r="A39" s="2" t="s">
        <v>62</v>
      </c>
      <c r="B39" s="6" t="s">
        <v>13</v>
      </c>
      <c r="C39" s="6">
        <v>22</v>
      </c>
      <c r="D39" s="6">
        <v>18</v>
      </c>
      <c r="E39" s="6">
        <f t="shared" si="0"/>
        <v>22</v>
      </c>
      <c r="F39" s="6">
        <v>18</v>
      </c>
      <c r="G39" s="4">
        <v>45</v>
      </c>
      <c r="H39" s="4">
        <v>65</v>
      </c>
      <c r="I39" s="4">
        <f t="shared" si="1"/>
        <v>1170</v>
      </c>
      <c r="J39" s="4">
        <f t="shared" si="2"/>
        <v>810</v>
      </c>
      <c r="K39" s="4">
        <f t="shared" si="3"/>
        <v>360</v>
      </c>
    </row>
    <row r="40" spans="1:11" x14ac:dyDescent="0.25">
      <c r="A40" s="2" t="s">
        <v>63</v>
      </c>
      <c r="B40" s="6" t="s">
        <v>80</v>
      </c>
      <c r="C40" s="6">
        <v>31</v>
      </c>
      <c r="D40" s="6">
        <v>24</v>
      </c>
      <c r="E40" s="6">
        <f t="shared" si="0"/>
        <v>35</v>
      </c>
      <c r="F40" s="6">
        <v>20</v>
      </c>
      <c r="G40" s="4">
        <v>20</v>
      </c>
      <c r="H40" s="4">
        <v>30</v>
      </c>
      <c r="I40" s="4">
        <f t="shared" si="1"/>
        <v>600</v>
      </c>
      <c r="J40" s="4">
        <f t="shared" si="2"/>
        <v>400</v>
      </c>
      <c r="K40" s="4">
        <f t="shared" si="3"/>
        <v>200</v>
      </c>
    </row>
    <row r="41" spans="1:11" x14ac:dyDescent="0.25">
      <c r="A41" s="2" t="s">
        <v>64</v>
      </c>
      <c r="B41" s="6" t="s">
        <v>80</v>
      </c>
      <c r="C41" s="6">
        <v>24</v>
      </c>
      <c r="D41" s="6">
        <v>33</v>
      </c>
      <c r="E41" s="6">
        <f t="shared" si="0"/>
        <v>35</v>
      </c>
      <c r="F41" s="6">
        <v>22</v>
      </c>
      <c r="G41" s="4">
        <v>12</v>
      </c>
      <c r="H41" s="4">
        <v>20</v>
      </c>
      <c r="I41" s="4">
        <f t="shared" si="1"/>
        <v>440</v>
      </c>
      <c r="J41" s="4">
        <f t="shared" si="2"/>
        <v>264</v>
      </c>
      <c r="K41" s="4">
        <f t="shared" si="3"/>
        <v>176</v>
      </c>
    </row>
    <row r="42" spans="1:11" x14ac:dyDescent="0.25">
      <c r="A42" s="2" t="s">
        <v>65</v>
      </c>
      <c r="B42" s="6" t="s">
        <v>14</v>
      </c>
      <c r="C42" s="6">
        <v>11</v>
      </c>
      <c r="D42" s="6">
        <v>12</v>
      </c>
      <c r="E42" s="6">
        <f t="shared" si="0"/>
        <v>17</v>
      </c>
      <c r="F42" s="6">
        <v>6</v>
      </c>
      <c r="G42" s="4">
        <v>55</v>
      </c>
      <c r="H42" s="4">
        <v>80</v>
      </c>
      <c r="I42" s="4">
        <f t="shared" si="1"/>
        <v>480</v>
      </c>
      <c r="J42" s="4">
        <f t="shared" si="2"/>
        <v>330</v>
      </c>
      <c r="K42" s="4">
        <f t="shared" si="3"/>
        <v>150</v>
      </c>
    </row>
    <row r="43" spans="1:11" x14ac:dyDescent="0.25">
      <c r="A43" s="2" t="s">
        <v>66</v>
      </c>
      <c r="B43" s="6" t="s">
        <v>14</v>
      </c>
      <c r="C43" s="6">
        <v>50</v>
      </c>
      <c r="D43" s="6">
        <v>35</v>
      </c>
      <c r="E43" s="6">
        <f t="shared" si="0"/>
        <v>56</v>
      </c>
      <c r="F43" s="6">
        <v>29</v>
      </c>
      <c r="G43" s="4">
        <v>7</v>
      </c>
      <c r="H43" s="4">
        <v>20</v>
      </c>
      <c r="I43" s="4">
        <f t="shared" si="1"/>
        <v>580</v>
      </c>
      <c r="J43" s="4">
        <f t="shared" si="2"/>
        <v>203</v>
      </c>
      <c r="K43" s="4">
        <f t="shared" si="3"/>
        <v>377</v>
      </c>
    </row>
    <row r="44" spans="1:11" x14ac:dyDescent="0.25">
      <c r="A44" s="2" t="s">
        <v>67</v>
      </c>
      <c r="B44" s="6" t="s">
        <v>15</v>
      </c>
      <c r="C44" s="6">
        <v>41</v>
      </c>
      <c r="D44" s="6">
        <v>24</v>
      </c>
      <c r="E44" s="6">
        <f t="shared" si="0"/>
        <v>45</v>
      </c>
      <c r="F44" s="6">
        <v>20</v>
      </c>
      <c r="G44" s="4">
        <v>35</v>
      </c>
      <c r="H44" s="4">
        <v>60</v>
      </c>
      <c r="I44" s="4">
        <f t="shared" si="1"/>
        <v>1200</v>
      </c>
      <c r="J44" s="4">
        <f t="shared" si="2"/>
        <v>700</v>
      </c>
      <c r="K44" s="4">
        <f t="shared" si="3"/>
        <v>500</v>
      </c>
    </row>
    <row r="45" spans="1:11" x14ac:dyDescent="0.25">
      <c r="A45" s="2" t="s">
        <v>90</v>
      </c>
      <c r="B45" s="6" t="s">
        <v>15</v>
      </c>
      <c r="C45" s="6">
        <v>34</v>
      </c>
      <c r="D45" s="6">
        <v>15</v>
      </c>
      <c r="E45" s="6">
        <f t="shared" si="0"/>
        <v>37</v>
      </c>
      <c r="F45" s="6">
        <v>12</v>
      </c>
      <c r="G45" s="4">
        <v>185</v>
      </c>
      <c r="H45" s="4">
        <v>230</v>
      </c>
      <c r="I45" s="4">
        <f t="shared" si="1"/>
        <v>2760</v>
      </c>
      <c r="J45" s="4">
        <f t="shared" si="2"/>
        <v>2220</v>
      </c>
      <c r="K45" s="4">
        <f t="shared" si="3"/>
        <v>540</v>
      </c>
    </row>
    <row r="46" spans="1:11" x14ac:dyDescent="0.25">
      <c r="A46" s="2" t="s">
        <v>91</v>
      </c>
      <c r="B46" s="6" t="s">
        <v>15</v>
      </c>
      <c r="C46" s="6">
        <v>34</v>
      </c>
      <c r="D46" s="6">
        <v>17</v>
      </c>
      <c r="E46" s="6">
        <f t="shared" si="0"/>
        <v>36</v>
      </c>
      <c r="F46" s="6">
        <v>15</v>
      </c>
      <c r="G46" s="4">
        <v>140</v>
      </c>
      <c r="H46" s="4">
        <v>165</v>
      </c>
      <c r="I46" s="4">
        <f t="shared" si="1"/>
        <v>2475</v>
      </c>
      <c r="J46" s="4">
        <f t="shared" si="2"/>
        <v>2100</v>
      </c>
      <c r="K46" s="4">
        <f t="shared" si="3"/>
        <v>375</v>
      </c>
    </row>
    <row r="47" spans="1:11" x14ac:dyDescent="0.25">
      <c r="A47" s="2" t="s">
        <v>68</v>
      </c>
      <c r="B47" s="6" t="s">
        <v>81</v>
      </c>
      <c r="C47" s="6">
        <v>47</v>
      </c>
      <c r="D47" s="6">
        <v>18</v>
      </c>
      <c r="E47" s="6">
        <f t="shared" si="0"/>
        <v>49</v>
      </c>
      <c r="F47" s="6">
        <v>16</v>
      </c>
      <c r="G47" s="4">
        <v>120</v>
      </c>
      <c r="H47" s="4">
        <v>155</v>
      </c>
      <c r="I47" s="4">
        <f t="shared" si="1"/>
        <v>2480</v>
      </c>
      <c r="J47" s="4">
        <f t="shared" si="2"/>
        <v>1920</v>
      </c>
      <c r="K47" s="4">
        <f t="shared" si="3"/>
        <v>560</v>
      </c>
    </row>
    <row r="48" spans="1:11" x14ac:dyDescent="0.25">
      <c r="A48" s="2" t="s">
        <v>69</v>
      </c>
      <c r="B48" s="6" t="s">
        <v>81</v>
      </c>
      <c r="C48" s="6">
        <v>36</v>
      </c>
      <c r="D48" s="6">
        <v>32</v>
      </c>
      <c r="E48" s="6">
        <f t="shared" si="0"/>
        <v>46</v>
      </c>
      <c r="F48" s="6">
        <v>22</v>
      </c>
      <c r="G48" s="4">
        <v>25</v>
      </c>
      <c r="H48" s="4">
        <v>50</v>
      </c>
      <c r="I48" s="4">
        <f t="shared" si="1"/>
        <v>1100</v>
      </c>
      <c r="J48" s="4">
        <f t="shared" si="2"/>
        <v>550</v>
      </c>
      <c r="K48" s="4">
        <f t="shared" si="3"/>
        <v>550</v>
      </c>
    </row>
    <row r="49" spans="1:11" x14ac:dyDescent="0.25">
      <c r="A49" s="2" t="s">
        <v>70</v>
      </c>
      <c r="B49" s="6" t="s">
        <v>81</v>
      </c>
      <c r="C49" s="6">
        <v>47</v>
      </c>
      <c r="D49" s="6">
        <v>19</v>
      </c>
      <c r="E49" s="6">
        <f t="shared" si="0"/>
        <v>49</v>
      </c>
      <c r="F49" s="6">
        <v>17</v>
      </c>
      <c r="G49" s="4">
        <v>105</v>
      </c>
      <c r="H49" s="4">
        <v>140</v>
      </c>
      <c r="I49" s="4">
        <f t="shared" si="1"/>
        <v>2380</v>
      </c>
      <c r="J49" s="4">
        <f t="shared" si="2"/>
        <v>1785</v>
      </c>
      <c r="K49" s="4">
        <f t="shared" si="3"/>
        <v>595</v>
      </c>
    </row>
    <row r="50" spans="1:11" x14ac:dyDescent="0.25">
      <c r="A50" s="2" t="s">
        <v>71</v>
      </c>
      <c r="B50" s="6" t="s">
        <v>17</v>
      </c>
      <c r="C50" s="6">
        <v>45</v>
      </c>
      <c r="D50" s="6">
        <v>30</v>
      </c>
      <c r="E50" s="6">
        <f t="shared" si="0"/>
        <v>51</v>
      </c>
      <c r="F50" s="6">
        <v>24</v>
      </c>
      <c r="G50" s="4">
        <v>10</v>
      </c>
      <c r="H50" s="4">
        <v>20</v>
      </c>
      <c r="I50" s="4">
        <f t="shared" si="1"/>
        <v>480</v>
      </c>
      <c r="J50" s="4">
        <f t="shared" si="2"/>
        <v>240</v>
      </c>
      <c r="K50" s="4">
        <f t="shared" si="3"/>
        <v>240</v>
      </c>
    </row>
    <row r="51" spans="1:11" x14ac:dyDescent="0.25">
      <c r="A51" s="2" t="s">
        <v>72</v>
      </c>
      <c r="B51" s="6" t="s">
        <v>17</v>
      </c>
      <c r="C51" s="6">
        <v>45</v>
      </c>
      <c r="D51" s="6">
        <v>25</v>
      </c>
      <c r="E51" s="6">
        <f t="shared" si="0"/>
        <v>52</v>
      </c>
      <c r="F51" s="6">
        <v>18</v>
      </c>
      <c r="G51" s="4">
        <v>8</v>
      </c>
      <c r="H51" s="4">
        <v>15</v>
      </c>
      <c r="I51" s="4">
        <f t="shared" si="1"/>
        <v>270</v>
      </c>
      <c r="J51" s="4">
        <f t="shared" si="2"/>
        <v>144</v>
      </c>
      <c r="K51" s="4">
        <f t="shared" si="3"/>
        <v>126</v>
      </c>
    </row>
    <row r="52" spans="1:11" x14ac:dyDescent="0.25">
      <c r="A52" s="2" t="s">
        <v>73</v>
      </c>
      <c r="B52" s="6" t="s">
        <v>17</v>
      </c>
      <c r="C52" s="6">
        <v>35</v>
      </c>
      <c r="D52" s="6">
        <v>28</v>
      </c>
      <c r="E52" s="6">
        <f t="shared" si="0"/>
        <v>38</v>
      </c>
      <c r="F52" s="6">
        <v>25</v>
      </c>
      <c r="G52" s="4">
        <v>12</v>
      </c>
      <c r="H52" s="4">
        <v>20</v>
      </c>
      <c r="I52" s="4">
        <f t="shared" si="1"/>
        <v>500</v>
      </c>
      <c r="J52" s="4">
        <f t="shared" si="2"/>
        <v>300</v>
      </c>
      <c r="K52" s="4">
        <f t="shared" si="3"/>
        <v>200</v>
      </c>
    </row>
    <row r="53" spans="1:11" x14ac:dyDescent="0.25">
      <c r="A53" s="2" t="s">
        <v>92</v>
      </c>
      <c r="B53" s="6" t="s">
        <v>17</v>
      </c>
      <c r="C53" s="6">
        <v>38</v>
      </c>
      <c r="D53" s="6">
        <v>26</v>
      </c>
      <c r="E53" s="6">
        <f t="shared" si="0"/>
        <v>43</v>
      </c>
      <c r="F53" s="6">
        <v>21</v>
      </c>
      <c r="G53" s="4">
        <v>12</v>
      </c>
      <c r="H53" s="4">
        <v>20</v>
      </c>
      <c r="I53" s="4">
        <f t="shared" si="1"/>
        <v>420</v>
      </c>
      <c r="J53" s="4">
        <f t="shared" si="2"/>
        <v>252</v>
      </c>
      <c r="K53" s="4">
        <f t="shared" si="3"/>
        <v>168</v>
      </c>
    </row>
    <row r="54" spans="1:11" x14ac:dyDescent="0.25">
      <c r="A54" s="2" t="s">
        <v>74</v>
      </c>
      <c r="B54" s="6" t="s">
        <v>82</v>
      </c>
      <c r="C54" s="6">
        <v>37</v>
      </c>
      <c r="D54" s="6">
        <v>18</v>
      </c>
      <c r="E54" s="6">
        <f t="shared" si="0"/>
        <v>41</v>
      </c>
      <c r="F54" s="6">
        <v>14</v>
      </c>
      <c r="G54" s="4">
        <v>140</v>
      </c>
      <c r="H54" s="4">
        <v>185</v>
      </c>
      <c r="I54" s="4">
        <f t="shared" si="1"/>
        <v>2590</v>
      </c>
      <c r="J54" s="4">
        <f t="shared" si="2"/>
        <v>1960</v>
      </c>
      <c r="K54" s="4">
        <f t="shared" si="3"/>
        <v>630</v>
      </c>
    </row>
    <row r="55" spans="1:11" x14ac:dyDescent="0.25">
      <c r="A55" s="2" t="s">
        <v>75</v>
      </c>
      <c r="B55" s="6" t="s">
        <v>82</v>
      </c>
      <c r="C55" s="6">
        <v>37</v>
      </c>
      <c r="D55" s="6">
        <v>21</v>
      </c>
      <c r="E55" s="6">
        <f t="shared" si="0"/>
        <v>47</v>
      </c>
      <c r="F55" s="6">
        <v>11</v>
      </c>
      <c r="G55" s="4">
        <v>140</v>
      </c>
      <c r="H55" s="4">
        <v>170</v>
      </c>
      <c r="I55" s="4">
        <f t="shared" si="1"/>
        <v>1870</v>
      </c>
      <c r="J55" s="4">
        <f t="shared" si="2"/>
        <v>1540</v>
      </c>
      <c r="K55" s="4">
        <f t="shared" si="3"/>
        <v>330</v>
      </c>
    </row>
    <row r="56" spans="1:11" x14ac:dyDescent="0.25">
      <c r="A56" s="2" t="s">
        <v>76</v>
      </c>
      <c r="B56" s="6" t="s">
        <v>82</v>
      </c>
      <c r="C56" s="6">
        <v>30</v>
      </c>
      <c r="D56" s="6">
        <v>23</v>
      </c>
      <c r="E56" s="6">
        <f t="shared" si="0"/>
        <v>38</v>
      </c>
      <c r="F56" s="6">
        <v>15</v>
      </c>
      <c r="G56" s="4">
        <v>185</v>
      </c>
      <c r="H56" s="4">
        <v>230</v>
      </c>
      <c r="I56" s="4">
        <f t="shared" si="1"/>
        <v>3450</v>
      </c>
      <c r="J56" s="4">
        <f t="shared" si="2"/>
        <v>2775</v>
      </c>
      <c r="K56" s="4">
        <f t="shared" si="3"/>
        <v>675</v>
      </c>
    </row>
    <row r="57" spans="1:11" x14ac:dyDescent="0.25">
      <c r="A57" s="2" t="s">
        <v>77</v>
      </c>
      <c r="B57" s="6" t="s">
        <v>82</v>
      </c>
      <c r="C57" s="6">
        <v>34</v>
      </c>
      <c r="D57" s="6">
        <v>19</v>
      </c>
      <c r="E57" s="6">
        <f t="shared" si="0"/>
        <v>40</v>
      </c>
      <c r="F57" s="6">
        <v>13</v>
      </c>
      <c r="G57" s="4">
        <v>160</v>
      </c>
      <c r="H57" s="4">
        <v>200</v>
      </c>
      <c r="I57" s="4">
        <f t="shared" si="1"/>
        <v>2600</v>
      </c>
      <c r="J57" s="4">
        <f t="shared" si="2"/>
        <v>2080</v>
      </c>
      <c r="K57" s="4">
        <f t="shared" si="3"/>
        <v>520</v>
      </c>
    </row>
    <row r="58" spans="1:11" x14ac:dyDescent="0.25">
      <c r="A58" s="2" t="s">
        <v>78</v>
      </c>
      <c r="B58" s="6" t="s">
        <v>82</v>
      </c>
      <c r="C58" s="6">
        <v>39</v>
      </c>
      <c r="D58" s="6">
        <v>25</v>
      </c>
      <c r="E58" s="6">
        <f t="shared" si="0"/>
        <v>46</v>
      </c>
      <c r="F58" s="6">
        <v>18</v>
      </c>
      <c r="G58" s="4">
        <v>75</v>
      </c>
      <c r="H58" s="4">
        <v>105</v>
      </c>
      <c r="I58" s="4">
        <f t="shared" si="1"/>
        <v>1890</v>
      </c>
      <c r="J58" s="4">
        <f t="shared" si="2"/>
        <v>1350</v>
      </c>
      <c r="K58" s="4">
        <f t="shared" si="3"/>
        <v>540</v>
      </c>
    </row>
    <row r="59" spans="1:11" x14ac:dyDescent="0.25">
      <c r="A59" s="2" t="s">
        <v>79</v>
      </c>
      <c r="B59" s="6" t="s">
        <v>82</v>
      </c>
      <c r="C59" s="6">
        <v>32</v>
      </c>
      <c r="D59" s="6">
        <v>27</v>
      </c>
      <c r="E59" s="6">
        <f t="shared" si="0"/>
        <v>40</v>
      </c>
      <c r="F59" s="6">
        <v>19</v>
      </c>
      <c r="G59" s="4">
        <v>40</v>
      </c>
      <c r="H59" s="4">
        <v>60</v>
      </c>
      <c r="I59" s="4">
        <f t="shared" si="1"/>
        <v>1140</v>
      </c>
      <c r="J59" s="4">
        <f t="shared" si="2"/>
        <v>760</v>
      </c>
      <c r="K59" s="4">
        <f t="shared" si="3"/>
        <v>380</v>
      </c>
    </row>
    <row r="60" spans="1:11" x14ac:dyDescent="0.25">
      <c r="A60" s="2" t="s">
        <v>83</v>
      </c>
      <c r="B60" s="6" t="s">
        <v>85</v>
      </c>
      <c r="C60" s="6">
        <v>65</v>
      </c>
      <c r="D60" s="6">
        <v>34</v>
      </c>
      <c r="E60" s="6">
        <f t="shared" si="0"/>
        <v>75</v>
      </c>
      <c r="F60" s="6">
        <v>24</v>
      </c>
      <c r="G60" s="4">
        <v>18</v>
      </c>
      <c r="H60" s="4">
        <v>30</v>
      </c>
      <c r="I60" s="4">
        <f t="shared" si="1"/>
        <v>720</v>
      </c>
      <c r="J60" s="4">
        <f t="shared" si="2"/>
        <v>432</v>
      </c>
      <c r="K60" s="4">
        <f t="shared" si="3"/>
        <v>288</v>
      </c>
    </row>
    <row r="61" spans="1:11" x14ac:dyDescent="0.25">
      <c r="A61" s="2" t="s">
        <v>84</v>
      </c>
      <c r="B61" s="6" t="s">
        <v>85</v>
      </c>
      <c r="C61" s="6">
        <v>58</v>
      </c>
      <c r="D61" s="6">
        <v>21</v>
      </c>
      <c r="E61" s="6">
        <f t="shared" si="0"/>
        <v>57</v>
      </c>
      <c r="F61" s="6">
        <v>22</v>
      </c>
      <c r="G61" s="4">
        <v>25</v>
      </c>
      <c r="H61" s="4">
        <v>40</v>
      </c>
      <c r="I61" s="4">
        <f t="shared" si="1"/>
        <v>880</v>
      </c>
      <c r="J61" s="4">
        <f t="shared" si="2"/>
        <v>550</v>
      </c>
      <c r="K61" s="4">
        <f t="shared" si="3"/>
        <v>330</v>
      </c>
    </row>
    <row r="62" spans="1:11" x14ac:dyDescent="0.25">
      <c r="A62" s="2" t="s">
        <v>86</v>
      </c>
      <c r="B62" s="6" t="s">
        <v>85</v>
      </c>
      <c r="C62" s="6">
        <v>55</v>
      </c>
      <c r="D62" s="6">
        <v>18</v>
      </c>
      <c r="E62" s="6">
        <f t="shared" si="0"/>
        <v>54</v>
      </c>
      <c r="F62" s="6">
        <v>19</v>
      </c>
      <c r="G62" s="4">
        <v>10</v>
      </c>
      <c r="H62" s="4">
        <v>15</v>
      </c>
      <c r="I62" s="4">
        <f t="shared" si="1"/>
        <v>285</v>
      </c>
      <c r="J62" s="4">
        <f t="shared" si="2"/>
        <v>190</v>
      </c>
      <c r="K62" s="4">
        <f t="shared" si="3"/>
        <v>95</v>
      </c>
    </row>
    <row r="63" spans="1:11" x14ac:dyDescent="0.25">
      <c r="A63" s="2" t="s">
        <v>88</v>
      </c>
      <c r="B63" s="6" t="s">
        <v>10</v>
      </c>
      <c r="C63" s="6">
        <v>50</v>
      </c>
      <c r="D63" s="6">
        <v>25</v>
      </c>
      <c r="E63" s="6">
        <f t="shared" si="0"/>
        <v>51</v>
      </c>
      <c r="F63" s="6">
        <v>24</v>
      </c>
      <c r="G63" s="4">
        <v>5</v>
      </c>
      <c r="H63" s="4">
        <v>8</v>
      </c>
      <c r="I63" s="4">
        <f t="shared" si="1"/>
        <v>192</v>
      </c>
      <c r="J63" s="4">
        <f t="shared" si="2"/>
        <v>120</v>
      </c>
      <c r="K63" s="4">
        <f t="shared" si="3"/>
        <v>72</v>
      </c>
    </row>
    <row r="64" spans="1:11" x14ac:dyDescent="0.25">
      <c r="A64" s="2" t="s">
        <v>87</v>
      </c>
      <c r="B64" s="6" t="s">
        <v>10</v>
      </c>
      <c r="C64" s="6">
        <v>64</v>
      </c>
      <c r="D64" s="6">
        <v>27</v>
      </c>
      <c r="E64" s="6">
        <f t="shared" si="0"/>
        <v>69</v>
      </c>
      <c r="F64" s="6">
        <v>22</v>
      </c>
      <c r="G64" s="4">
        <v>7</v>
      </c>
      <c r="H64" s="4">
        <v>15</v>
      </c>
      <c r="I64" s="4">
        <f t="shared" si="1"/>
        <v>330</v>
      </c>
      <c r="J64" s="4">
        <f t="shared" si="2"/>
        <v>154</v>
      </c>
      <c r="K64" s="4">
        <f t="shared" si="3"/>
        <v>176</v>
      </c>
    </row>
    <row r="65" spans="1:11" x14ac:dyDescent="0.25">
      <c r="A65" s="2" t="s">
        <v>89</v>
      </c>
      <c r="B65" s="6" t="s">
        <v>10</v>
      </c>
      <c r="C65" s="6">
        <v>58</v>
      </c>
      <c r="D65" s="6">
        <v>35</v>
      </c>
      <c r="E65" s="6">
        <f t="shared" si="0"/>
        <v>67</v>
      </c>
      <c r="F65" s="6">
        <v>26</v>
      </c>
      <c r="G65" s="4">
        <v>2</v>
      </c>
      <c r="H65" s="4">
        <v>5</v>
      </c>
      <c r="I65" s="4">
        <f t="shared" si="1"/>
        <v>130</v>
      </c>
      <c r="J65" s="4">
        <f t="shared" si="2"/>
        <v>52</v>
      </c>
      <c r="K65" s="4">
        <f t="shared" si="3"/>
        <v>78</v>
      </c>
    </row>
  </sheetData>
  <autoFilter ref="A1:K1" xr:uid="{3A142A80-34C8-4B81-8972-B0B37BDA21DC}"/>
  <conditionalFormatting sqref="J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194D-DD2C-4B70-9D28-C830B7D6DBD1}">
  <dimension ref="A1:K65"/>
  <sheetViews>
    <sheetView topLeftCell="A30" workbookViewId="0">
      <selection activeCell="F2" sqref="F2:F65"/>
    </sheetView>
  </sheetViews>
  <sheetFormatPr defaultRowHeight="15" x14ac:dyDescent="0.25"/>
  <cols>
    <col min="1" max="1" width="67.28515625" bestFit="1" customWidth="1"/>
    <col min="2" max="2" width="25.5703125" bestFit="1" customWidth="1"/>
    <col min="3" max="3" width="16" customWidth="1"/>
    <col min="4" max="4" width="18.140625" customWidth="1"/>
    <col min="5" max="5" width="15.140625" customWidth="1"/>
    <col min="6" max="6" width="14" customWidth="1"/>
    <col min="7" max="7" width="16" customWidth="1"/>
    <col min="8" max="8" width="18" customWidth="1"/>
    <col min="9" max="9" width="16.7109375" customWidth="1"/>
    <col min="10" max="10" width="14" customWidth="1"/>
    <col min="11" max="11" width="14.28515625" customWidth="1"/>
  </cols>
  <sheetData>
    <row r="1" spans="1:11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22</v>
      </c>
      <c r="B2" s="6" t="s">
        <v>19</v>
      </c>
      <c r="C2" s="6">
        <v>50</v>
      </c>
      <c r="D2" s="6">
        <v>42</v>
      </c>
      <c r="E2" s="6">
        <f>C2+D2-F2</f>
        <v>65</v>
      </c>
      <c r="F2" s="6">
        <v>27</v>
      </c>
      <c r="G2" s="4">
        <v>90</v>
      </c>
      <c r="H2" s="4">
        <v>120</v>
      </c>
      <c r="I2" s="4">
        <f>F2*H2</f>
        <v>3240</v>
      </c>
      <c r="J2" s="4">
        <f>F2*G2</f>
        <v>2430</v>
      </c>
      <c r="K2" s="4">
        <f>I2-J2</f>
        <v>810</v>
      </c>
    </row>
    <row r="3" spans="1:11" x14ac:dyDescent="0.25">
      <c r="A3" s="2" t="s">
        <v>21</v>
      </c>
      <c r="B3" s="6" t="s">
        <v>19</v>
      </c>
      <c r="C3" s="6">
        <v>48</v>
      </c>
      <c r="D3" s="6">
        <v>28</v>
      </c>
      <c r="E3" s="6">
        <f t="shared" ref="E3:E65" si="0">C3+D3-F3</f>
        <v>54</v>
      </c>
      <c r="F3" s="6">
        <v>22</v>
      </c>
      <c r="G3" s="4">
        <v>135</v>
      </c>
      <c r="H3" s="4">
        <v>160</v>
      </c>
      <c r="I3" s="4">
        <f t="shared" ref="I3:I65" si="1">F3*H3</f>
        <v>3520</v>
      </c>
      <c r="J3" s="4">
        <f t="shared" ref="J3:J65" si="2">F3*G3</f>
        <v>2970</v>
      </c>
      <c r="K3" s="4">
        <f t="shared" ref="K3:K65" si="3">I3-J3</f>
        <v>550</v>
      </c>
    </row>
    <row r="4" spans="1:11" x14ac:dyDescent="0.25">
      <c r="A4" s="2" t="s">
        <v>20</v>
      </c>
      <c r="B4" s="6" t="s">
        <v>19</v>
      </c>
      <c r="C4" s="6">
        <v>57</v>
      </c>
      <c r="D4" s="6">
        <v>43</v>
      </c>
      <c r="E4" s="6">
        <f t="shared" si="0"/>
        <v>77</v>
      </c>
      <c r="F4" s="6">
        <v>23</v>
      </c>
      <c r="G4" s="4">
        <v>165</v>
      </c>
      <c r="H4" s="4">
        <v>185</v>
      </c>
      <c r="I4" s="4">
        <f t="shared" si="1"/>
        <v>4255</v>
      </c>
      <c r="J4" s="4">
        <f t="shared" si="2"/>
        <v>3795</v>
      </c>
      <c r="K4" s="4">
        <f t="shared" si="3"/>
        <v>460</v>
      </c>
    </row>
    <row r="5" spans="1:11" x14ac:dyDescent="0.25">
      <c r="A5" s="2" t="s">
        <v>23</v>
      </c>
      <c r="B5" s="6" t="s">
        <v>32</v>
      </c>
      <c r="C5" s="6">
        <v>38</v>
      </c>
      <c r="D5" s="6">
        <v>27</v>
      </c>
      <c r="E5" s="6">
        <f t="shared" si="0"/>
        <v>44</v>
      </c>
      <c r="F5" s="6">
        <v>21</v>
      </c>
      <c r="G5" s="4">
        <v>25</v>
      </c>
      <c r="H5" s="4">
        <v>35</v>
      </c>
      <c r="I5" s="4">
        <f t="shared" si="1"/>
        <v>735</v>
      </c>
      <c r="J5" s="4">
        <f t="shared" si="2"/>
        <v>525</v>
      </c>
      <c r="K5" s="4">
        <f t="shared" si="3"/>
        <v>210</v>
      </c>
    </row>
    <row r="6" spans="1:11" x14ac:dyDescent="0.25">
      <c r="A6" s="2" t="s">
        <v>24</v>
      </c>
      <c r="B6" s="6" t="s">
        <v>32</v>
      </c>
      <c r="C6" s="6">
        <v>45</v>
      </c>
      <c r="D6" s="6">
        <v>38</v>
      </c>
      <c r="E6" s="6">
        <f t="shared" si="0"/>
        <v>58</v>
      </c>
      <c r="F6" s="6">
        <v>25</v>
      </c>
      <c r="G6" s="4">
        <v>30</v>
      </c>
      <c r="H6" s="4">
        <v>55</v>
      </c>
      <c r="I6" s="4">
        <f t="shared" si="1"/>
        <v>1375</v>
      </c>
      <c r="J6" s="4">
        <f t="shared" si="2"/>
        <v>750</v>
      </c>
      <c r="K6" s="4">
        <f t="shared" si="3"/>
        <v>625</v>
      </c>
    </row>
    <row r="7" spans="1:11" x14ac:dyDescent="0.25">
      <c r="A7" s="2" t="s">
        <v>25</v>
      </c>
      <c r="B7" s="6" t="s">
        <v>32</v>
      </c>
      <c r="C7" s="6">
        <v>43</v>
      </c>
      <c r="D7" s="6">
        <v>40</v>
      </c>
      <c r="E7" s="6">
        <f t="shared" si="0"/>
        <v>56</v>
      </c>
      <c r="F7" s="6">
        <v>27</v>
      </c>
      <c r="G7" s="4">
        <v>18</v>
      </c>
      <c r="H7" s="4">
        <v>30</v>
      </c>
      <c r="I7" s="4">
        <f t="shared" si="1"/>
        <v>810</v>
      </c>
      <c r="J7" s="4">
        <f t="shared" si="2"/>
        <v>486</v>
      </c>
      <c r="K7" s="4">
        <f t="shared" si="3"/>
        <v>324</v>
      </c>
    </row>
    <row r="8" spans="1:11" x14ac:dyDescent="0.25">
      <c r="A8" s="2" t="s">
        <v>26</v>
      </c>
      <c r="B8" s="6" t="s">
        <v>32</v>
      </c>
      <c r="C8" s="6">
        <v>68</v>
      </c>
      <c r="D8" s="6">
        <v>44</v>
      </c>
      <c r="E8" s="6">
        <f t="shared" si="0"/>
        <v>88</v>
      </c>
      <c r="F8" s="6">
        <v>24</v>
      </c>
      <c r="G8" s="4">
        <v>50</v>
      </c>
      <c r="H8" s="4">
        <v>65</v>
      </c>
      <c r="I8" s="4">
        <f t="shared" si="1"/>
        <v>1560</v>
      </c>
      <c r="J8" s="4">
        <f t="shared" si="2"/>
        <v>1200</v>
      </c>
      <c r="K8" s="4">
        <f t="shared" si="3"/>
        <v>360</v>
      </c>
    </row>
    <row r="9" spans="1:11" x14ac:dyDescent="0.25">
      <c r="A9" s="2" t="s">
        <v>27</v>
      </c>
      <c r="B9" s="6" t="s">
        <v>33</v>
      </c>
      <c r="C9" s="6">
        <v>40</v>
      </c>
      <c r="D9" s="6">
        <v>32</v>
      </c>
      <c r="E9" s="6">
        <f t="shared" si="0"/>
        <v>53</v>
      </c>
      <c r="F9" s="6">
        <v>19</v>
      </c>
      <c r="G9" s="4">
        <v>35</v>
      </c>
      <c r="H9" s="4">
        <v>50</v>
      </c>
      <c r="I9" s="4">
        <f t="shared" si="1"/>
        <v>950</v>
      </c>
      <c r="J9" s="4">
        <f t="shared" si="2"/>
        <v>665</v>
      </c>
      <c r="K9" s="4">
        <f t="shared" si="3"/>
        <v>285</v>
      </c>
    </row>
    <row r="10" spans="1:11" x14ac:dyDescent="0.25">
      <c r="A10" s="2" t="s">
        <v>28</v>
      </c>
      <c r="B10" s="6" t="s">
        <v>33</v>
      </c>
      <c r="C10" s="6">
        <v>42</v>
      </c>
      <c r="D10" s="6">
        <v>33</v>
      </c>
      <c r="E10" s="6">
        <f t="shared" si="0"/>
        <v>58</v>
      </c>
      <c r="F10" s="6">
        <v>17</v>
      </c>
      <c r="G10" s="4">
        <v>22</v>
      </c>
      <c r="H10" s="4">
        <v>40</v>
      </c>
      <c r="I10" s="4">
        <f t="shared" si="1"/>
        <v>680</v>
      </c>
      <c r="J10" s="4">
        <f t="shared" si="2"/>
        <v>374</v>
      </c>
      <c r="K10" s="4">
        <f t="shared" si="3"/>
        <v>306</v>
      </c>
    </row>
    <row r="11" spans="1:11" x14ac:dyDescent="0.25">
      <c r="A11" s="2" t="s">
        <v>29</v>
      </c>
      <c r="B11" s="6" t="s">
        <v>16</v>
      </c>
      <c r="C11" s="6">
        <v>42</v>
      </c>
      <c r="D11" s="6">
        <v>21</v>
      </c>
      <c r="E11" s="6">
        <f t="shared" si="0"/>
        <v>49</v>
      </c>
      <c r="F11" s="6">
        <v>14</v>
      </c>
      <c r="G11" s="4">
        <v>190</v>
      </c>
      <c r="H11" s="4">
        <v>220</v>
      </c>
      <c r="I11" s="4">
        <f t="shared" si="1"/>
        <v>3080</v>
      </c>
      <c r="J11" s="4">
        <f t="shared" si="2"/>
        <v>2660</v>
      </c>
      <c r="K11" s="4">
        <f t="shared" si="3"/>
        <v>420</v>
      </c>
    </row>
    <row r="12" spans="1:11" x14ac:dyDescent="0.25">
      <c r="A12" s="2" t="s">
        <v>30</v>
      </c>
      <c r="B12" s="6" t="s">
        <v>16</v>
      </c>
      <c r="C12" s="6">
        <v>53</v>
      </c>
      <c r="D12" s="6">
        <v>34</v>
      </c>
      <c r="E12" s="6">
        <f t="shared" si="0"/>
        <v>64</v>
      </c>
      <c r="F12" s="6">
        <v>23</v>
      </c>
      <c r="G12" s="4">
        <v>65</v>
      </c>
      <c r="H12" s="4">
        <v>85</v>
      </c>
      <c r="I12" s="4">
        <f t="shared" si="1"/>
        <v>1955</v>
      </c>
      <c r="J12" s="4">
        <f t="shared" si="2"/>
        <v>1495</v>
      </c>
      <c r="K12" s="4">
        <f t="shared" si="3"/>
        <v>460</v>
      </c>
    </row>
    <row r="13" spans="1:11" x14ac:dyDescent="0.25">
      <c r="A13" s="2" t="s">
        <v>31</v>
      </c>
      <c r="B13" s="6" t="s">
        <v>16</v>
      </c>
      <c r="C13" s="6">
        <v>50</v>
      </c>
      <c r="D13" s="6">
        <v>35</v>
      </c>
      <c r="E13" s="6">
        <f t="shared" si="0"/>
        <v>66</v>
      </c>
      <c r="F13" s="6">
        <v>19</v>
      </c>
      <c r="G13" s="4">
        <v>30</v>
      </c>
      <c r="H13" s="4">
        <v>42</v>
      </c>
      <c r="I13" s="4">
        <f t="shared" si="1"/>
        <v>798</v>
      </c>
      <c r="J13" s="4">
        <f t="shared" si="2"/>
        <v>570</v>
      </c>
      <c r="K13" s="4">
        <f t="shared" si="3"/>
        <v>228</v>
      </c>
    </row>
    <row r="14" spans="1:11" x14ac:dyDescent="0.25">
      <c r="A14" s="2" t="s">
        <v>34</v>
      </c>
      <c r="B14" s="6" t="s">
        <v>38</v>
      </c>
      <c r="C14" s="6">
        <v>55</v>
      </c>
      <c r="D14" s="6">
        <v>47</v>
      </c>
      <c r="E14" s="6">
        <f t="shared" si="0"/>
        <v>70</v>
      </c>
      <c r="F14" s="6">
        <v>32</v>
      </c>
      <c r="G14" s="4">
        <v>25</v>
      </c>
      <c r="H14" s="4">
        <v>40</v>
      </c>
      <c r="I14" s="4">
        <f t="shared" si="1"/>
        <v>1280</v>
      </c>
      <c r="J14" s="4">
        <f t="shared" si="2"/>
        <v>800</v>
      </c>
      <c r="K14" s="4">
        <f t="shared" si="3"/>
        <v>480</v>
      </c>
    </row>
    <row r="15" spans="1:11" x14ac:dyDescent="0.25">
      <c r="A15" s="2" t="s">
        <v>35</v>
      </c>
      <c r="B15" s="6" t="s">
        <v>38</v>
      </c>
      <c r="C15" s="6">
        <v>65</v>
      </c>
      <c r="D15" s="6">
        <v>44</v>
      </c>
      <c r="E15" s="6">
        <f t="shared" si="0"/>
        <v>82</v>
      </c>
      <c r="F15" s="6">
        <v>27</v>
      </c>
      <c r="G15" s="4">
        <v>45</v>
      </c>
      <c r="H15" s="4">
        <v>60</v>
      </c>
      <c r="I15" s="4">
        <f t="shared" si="1"/>
        <v>1620</v>
      </c>
      <c r="J15" s="4">
        <f t="shared" si="2"/>
        <v>1215</v>
      </c>
      <c r="K15" s="4">
        <f t="shared" si="3"/>
        <v>405</v>
      </c>
    </row>
    <row r="16" spans="1:11" x14ac:dyDescent="0.25">
      <c r="A16" s="2" t="s">
        <v>36</v>
      </c>
      <c r="B16" s="6" t="s">
        <v>38</v>
      </c>
      <c r="C16" s="6">
        <v>41</v>
      </c>
      <c r="D16" s="6">
        <v>46</v>
      </c>
      <c r="E16" s="6">
        <f t="shared" si="0"/>
        <v>63</v>
      </c>
      <c r="F16" s="6">
        <v>24</v>
      </c>
      <c r="G16" s="4">
        <v>40</v>
      </c>
      <c r="H16" s="4">
        <v>60</v>
      </c>
      <c r="I16" s="4">
        <f t="shared" si="1"/>
        <v>1440</v>
      </c>
      <c r="J16" s="4">
        <f t="shared" si="2"/>
        <v>960</v>
      </c>
      <c r="K16" s="4">
        <f t="shared" si="3"/>
        <v>480</v>
      </c>
    </row>
    <row r="17" spans="1:11" x14ac:dyDescent="0.25">
      <c r="A17" s="2" t="s">
        <v>37</v>
      </c>
      <c r="B17" s="6" t="s">
        <v>38</v>
      </c>
      <c r="C17" s="6">
        <v>41</v>
      </c>
      <c r="D17" s="6">
        <v>36</v>
      </c>
      <c r="E17" s="6">
        <f t="shared" si="0"/>
        <v>57</v>
      </c>
      <c r="F17" s="6">
        <v>20</v>
      </c>
      <c r="G17" s="4">
        <v>65</v>
      </c>
      <c r="H17" s="4">
        <v>80</v>
      </c>
      <c r="I17" s="4">
        <f t="shared" si="1"/>
        <v>1600</v>
      </c>
      <c r="J17" s="4">
        <f t="shared" si="2"/>
        <v>1300</v>
      </c>
      <c r="K17" s="4">
        <f t="shared" si="3"/>
        <v>300</v>
      </c>
    </row>
    <row r="18" spans="1:11" x14ac:dyDescent="0.25">
      <c r="A18" s="2" t="s">
        <v>39</v>
      </c>
      <c r="B18" s="6" t="s">
        <v>40</v>
      </c>
      <c r="C18" s="6">
        <v>57</v>
      </c>
      <c r="D18" s="6">
        <v>51</v>
      </c>
      <c r="E18" s="6">
        <f t="shared" si="0"/>
        <v>76</v>
      </c>
      <c r="F18" s="6">
        <v>32</v>
      </c>
      <c r="G18" s="4">
        <v>80</v>
      </c>
      <c r="H18" s="4">
        <v>100</v>
      </c>
      <c r="I18" s="4">
        <f t="shared" si="1"/>
        <v>3200</v>
      </c>
      <c r="J18" s="4">
        <f t="shared" si="2"/>
        <v>2560</v>
      </c>
      <c r="K18" s="4">
        <f t="shared" si="3"/>
        <v>640</v>
      </c>
    </row>
    <row r="19" spans="1:11" x14ac:dyDescent="0.25">
      <c r="A19" s="2" t="s">
        <v>41</v>
      </c>
      <c r="B19" s="6" t="s">
        <v>40</v>
      </c>
      <c r="C19" s="6">
        <v>41</v>
      </c>
      <c r="D19" s="6">
        <v>48</v>
      </c>
      <c r="E19" s="6">
        <f t="shared" si="0"/>
        <v>56</v>
      </c>
      <c r="F19" s="6">
        <v>33</v>
      </c>
      <c r="G19" s="4">
        <v>35</v>
      </c>
      <c r="H19" s="4">
        <v>50</v>
      </c>
      <c r="I19" s="4">
        <f t="shared" si="1"/>
        <v>1650</v>
      </c>
      <c r="J19" s="4">
        <f t="shared" si="2"/>
        <v>1155</v>
      </c>
      <c r="K19" s="4">
        <f t="shared" si="3"/>
        <v>495</v>
      </c>
    </row>
    <row r="20" spans="1:11" x14ac:dyDescent="0.25">
      <c r="A20" s="2" t="s">
        <v>42</v>
      </c>
      <c r="B20" s="6" t="s">
        <v>40</v>
      </c>
      <c r="C20" s="6">
        <v>50</v>
      </c>
      <c r="D20" s="6">
        <v>28</v>
      </c>
      <c r="E20" s="6">
        <f t="shared" si="0"/>
        <v>49</v>
      </c>
      <c r="F20" s="6">
        <v>29</v>
      </c>
      <c r="G20" s="4">
        <v>45</v>
      </c>
      <c r="H20" s="4">
        <v>60</v>
      </c>
      <c r="I20" s="4">
        <f t="shared" si="1"/>
        <v>1740</v>
      </c>
      <c r="J20" s="4">
        <f t="shared" si="2"/>
        <v>1305</v>
      </c>
      <c r="K20" s="4">
        <f t="shared" si="3"/>
        <v>435</v>
      </c>
    </row>
    <row r="21" spans="1:11" x14ac:dyDescent="0.25">
      <c r="A21" s="2" t="s">
        <v>43</v>
      </c>
      <c r="B21" s="6" t="s">
        <v>40</v>
      </c>
      <c r="C21" s="6">
        <v>41</v>
      </c>
      <c r="D21" s="6">
        <v>30</v>
      </c>
      <c r="E21" s="6">
        <f t="shared" si="0"/>
        <v>45</v>
      </c>
      <c r="F21" s="6">
        <v>26</v>
      </c>
      <c r="G21" s="4">
        <v>70</v>
      </c>
      <c r="H21" s="4">
        <v>90</v>
      </c>
      <c r="I21" s="4">
        <f t="shared" si="1"/>
        <v>2340</v>
      </c>
      <c r="J21" s="4">
        <f t="shared" si="2"/>
        <v>1820</v>
      </c>
      <c r="K21" s="4">
        <f t="shared" si="3"/>
        <v>520</v>
      </c>
    </row>
    <row r="22" spans="1:11" x14ac:dyDescent="0.25">
      <c r="A22" s="2" t="s">
        <v>44</v>
      </c>
      <c r="B22" s="6" t="s">
        <v>40</v>
      </c>
      <c r="C22" s="6">
        <v>43</v>
      </c>
      <c r="D22" s="6">
        <v>45</v>
      </c>
      <c r="E22" s="6">
        <f t="shared" si="0"/>
        <v>59</v>
      </c>
      <c r="F22" s="6">
        <v>29</v>
      </c>
      <c r="G22" s="4">
        <v>85</v>
      </c>
      <c r="H22" s="4">
        <v>100</v>
      </c>
      <c r="I22" s="4">
        <f t="shared" si="1"/>
        <v>2900</v>
      </c>
      <c r="J22" s="4">
        <f t="shared" si="2"/>
        <v>2465</v>
      </c>
      <c r="K22" s="4">
        <f t="shared" si="3"/>
        <v>435</v>
      </c>
    </row>
    <row r="23" spans="1:11" x14ac:dyDescent="0.25">
      <c r="A23" s="2" t="s">
        <v>45</v>
      </c>
      <c r="B23" s="6" t="s">
        <v>40</v>
      </c>
      <c r="C23" s="6">
        <v>42</v>
      </c>
      <c r="D23" s="6">
        <v>47</v>
      </c>
      <c r="E23" s="6">
        <f t="shared" si="0"/>
        <v>65</v>
      </c>
      <c r="F23" s="6">
        <v>24</v>
      </c>
      <c r="G23" s="4">
        <v>80</v>
      </c>
      <c r="H23" s="4">
        <v>100</v>
      </c>
      <c r="I23" s="4">
        <f t="shared" si="1"/>
        <v>2400</v>
      </c>
      <c r="J23" s="4">
        <f t="shared" si="2"/>
        <v>1920</v>
      </c>
      <c r="K23" s="4">
        <f t="shared" si="3"/>
        <v>480</v>
      </c>
    </row>
    <row r="24" spans="1:11" x14ac:dyDescent="0.25">
      <c r="A24" s="2" t="s">
        <v>46</v>
      </c>
      <c r="B24" s="6" t="s">
        <v>40</v>
      </c>
      <c r="C24" s="6">
        <v>38</v>
      </c>
      <c r="D24" s="6">
        <v>39</v>
      </c>
      <c r="E24" s="6">
        <f t="shared" si="0"/>
        <v>58</v>
      </c>
      <c r="F24" s="6">
        <v>19</v>
      </c>
      <c r="G24" s="4">
        <v>35</v>
      </c>
      <c r="H24" s="4">
        <v>50</v>
      </c>
      <c r="I24" s="4">
        <f t="shared" si="1"/>
        <v>950</v>
      </c>
      <c r="J24" s="4">
        <f t="shared" si="2"/>
        <v>665</v>
      </c>
      <c r="K24" s="4">
        <f t="shared" si="3"/>
        <v>285</v>
      </c>
    </row>
    <row r="25" spans="1:11" x14ac:dyDescent="0.25">
      <c r="A25" s="2" t="s">
        <v>47</v>
      </c>
      <c r="B25" s="6" t="s">
        <v>40</v>
      </c>
      <c r="C25" s="6">
        <v>33</v>
      </c>
      <c r="D25" s="6">
        <v>32</v>
      </c>
      <c r="E25" s="6">
        <f t="shared" si="0"/>
        <v>49</v>
      </c>
      <c r="F25" s="6">
        <v>16</v>
      </c>
      <c r="G25" s="4">
        <v>75</v>
      </c>
      <c r="H25" s="4">
        <v>100</v>
      </c>
      <c r="I25" s="4">
        <f t="shared" si="1"/>
        <v>1600</v>
      </c>
      <c r="J25" s="4">
        <f t="shared" si="2"/>
        <v>1200</v>
      </c>
      <c r="K25" s="4">
        <f t="shared" si="3"/>
        <v>400</v>
      </c>
    </row>
    <row r="26" spans="1:11" x14ac:dyDescent="0.25">
      <c r="A26" s="2" t="s">
        <v>48</v>
      </c>
      <c r="B26" s="6" t="s">
        <v>11</v>
      </c>
      <c r="C26" s="6">
        <v>20</v>
      </c>
      <c r="D26" s="6">
        <v>10</v>
      </c>
      <c r="E26" s="6">
        <f t="shared" si="0"/>
        <v>18</v>
      </c>
      <c r="F26" s="6">
        <v>12</v>
      </c>
      <c r="G26" s="4">
        <v>200</v>
      </c>
      <c r="H26" s="4">
        <v>250</v>
      </c>
      <c r="I26" s="4">
        <f t="shared" si="1"/>
        <v>3000</v>
      </c>
      <c r="J26" s="4">
        <f t="shared" si="2"/>
        <v>2400</v>
      </c>
      <c r="K26" s="4">
        <f t="shared" si="3"/>
        <v>600</v>
      </c>
    </row>
    <row r="27" spans="1:11" x14ac:dyDescent="0.25">
      <c r="A27" s="2" t="s">
        <v>49</v>
      </c>
      <c r="B27" s="6" t="s">
        <v>11</v>
      </c>
      <c r="C27" s="6">
        <v>14</v>
      </c>
      <c r="D27" s="6">
        <v>17</v>
      </c>
      <c r="E27" s="6">
        <f t="shared" si="0"/>
        <v>20</v>
      </c>
      <c r="F27" s="6">
        <v>11</v>
      </c>
      <c r="G27" s="4">
        <v>175</v>
      </c>
      <c r="H27" s="4">
        <v>200</v>
      </c>
      <c r="I27" s="4">
        <f t="shared" si="1"/>
        <v>2200</v>
      </c>
      <c r="J27" s="4">
        <f t="shared" si="2"/>
        <v>1925</v>
      </c>
      <c r="K27" s="4">
        <f t="shared" si="3"/>
        <v>275</v>
      </c>
    </row>
    <row r="28" spans="1:11" x14ac:dyDescent="0.25">
      <c r="A28" s="2" t="s">
        <v>50</v>
      </c>
      <c r="B28" s="6" t="s">
        <v>11</v>
      </c>
      <c r="C28" s="6">
        <v>16</v>
      </c>
      <c r="D28" s="6">
        <v>8</v>
      </c>
      <c r="E28" s="6">
        <f t="shared" si="0"/>
        <v>15</v>
      </c>
      <c r="F28" s="6">
        <v>9</v>
      </c>
      <c r="G28" s="4">
        <v>130</v>
      </c>
      <c r="H28" s="4">
        <v>155</v>
      </c>
      <c r="I28" s="4">
        <f t="shared" si="1"/>
        <v>1395</v>
      </c>
      <c r="J28" s="4">
        <f t="shared" si="2"/>
        <v>1170</v>
      </c>
      <c r="K28" s="4">
        <f t="shared" si="3"/>
        <v>225</v>
      </c>
    </row>
    <row r="29" spans="1:11" x14ac:dyDescent="0.25">
      <c r="A29" s="2" t="s">
        <v>51</v>
      </c>
      <c r="B29" s="6" t="s">
        <v>12</v>
      </c>
      <c r="C29" s="6">
        <v>47</v>
      </c>
      <c r="D29" s="6">
        <v>26</v>
      </c>
      <c r="E29" s="6">
        <f t="shared" si="0"/>
        <v>48</v>
      </c>
      <c r="F29" s="6">
        <v>25</v>
      </c>
      <c r="G29" s="4">
        <v>7</v>
      </c>
      <c r="H29" s="4">
        <v>12</v>
      </c>
      <c r="I29" s="4">
        <f t="shared" si="1"/>
        <v>300</v>
      </c>
      <c r="J29" s="4">
        <f t="shared" si="2"/>
        <v>175</v>
      </c>
      <c r="K29" s="4">
        <f t="shared" si="3"/>
        <v>125</v>
      </c>
    </row>
    <row r="30" spans="1:11" x14ac:dyDescent="0.25">
      <c r="A30" s="2" t="s">
        <v>52</v>
      </c>
      <c r="B30" s="6" t="s">
        <v>12</v>
      </c>
      <c r="C30" s="6">
        <v>40</v>
      </c>
      <c r="D30" s="6">
        <v>33</v>
      </c>
      <c r="E30" s="6">
        <f t="shared" si="0"/>
        <v>40</v>
      </c>
      <c r="F30" s="6">
        <v>33</v>
      </c>
      <c r="G30" s="4">
        <v>5</v>
      </c>
      <c r="H30" s="4">
        <v>10</v>
      </c>
      <c r="I30" s="4">
        <f t="shared" si="1"/>
        <v>330</v>
      </c>
      <c r="J30" s="4">
        <f t="shared" si="2"/>
        <v>165</v>
      </c>
      <c r="K30" s="4">
        <f t="shared" si="3"/>
        <v>165</v>
      </c>
    </row>
    <row r="31" spans="1:11" x14ac:dyDescent="0.25">
      <c r="A31" s="2" t="s">
        <v>53</v>
      </c>
      <c r="B31" s="6" t="s">
        <v>57</v>
      </c>
      <c r="C31" s="6">
        <v>58</v>
      </c>
      <c r="D31" s="6">
        <v>19</v>
      </c>
      <c r="E31" s="6">
        <f t="shared" si="0"/>
        <v>56</v>
      </c>
      <c r="F31" s="6">
        <v>21</v>
      </c>
      <c r="G31" s="4">
        <v>45</v>
      </c>
      <c r="H31" s="4">
        <v>60</v>
      </c>
      <c r="I31" s="4">
        <f t="shared" si="1"/>
        <v>1260</v>
      </c>
      <c r="J31" s="4">
        <f t="shared" si="2"/>
        <v>945</v>
      </c>
      <c r="K31" s="4">
        <f t="shared" si="3"/>
        <v>315</v>
      </c>
    </row>
    <row r="32" spans="1:11" x14ac:dyDescent="0.25">
      <c r="A32" s="2" t="s">
        <v>54</v>
      </c>
      <c r="B32" s="6" t="s">
        <v>57</v>
      </c>
      <c r="C32" s="6">
        <v>49</v>
      </c>
      <c r="D32" s="6">
        <v>32</v>
      </c>
      <c r="E32" s="6">
        <f t="shared" si="0"/>
        <v>61</v>
      </c>
      <c r="F32" s="6">
        <v>20</v>
      </c>
      <c r="G32" s="4">
        <v>65</v>
      </c>
      <c r="H32" s="4">
        <v>80</v>
      </c>
      <c r="I32" s="4">
        <f t="shared" si="1"/>
        <v>1600</v>
      </c>
      <c r="J32" s="4">
        <f t="shared" si="2"/>
        <v>1300</v>
      </c>
      <c r="K32" s="4">
        <f t="shared" si="3"/>
        <v>300</v>
      </c>
    </row>
    <row r="33" spans="1:11" x14ac:dyDescent="0.25">
      <c r="A33" s="2" t="s">
        <v>55</v>
      </c>
      <c r="B33" s="6" t="s">
        <v>57</v>
      </c>
      <c r="C33" s="6">
        <v>37</v>
      </c>
      <c r="D33" s="6">
        <v>33</v>
      </c>
      <c r="E33" s="6">
        <f t="shared" si="0"/>
        <v>46</v>
      </c>
      <c r="F33" s="6">
        <v>24</v>
      </c>
      <c r="G33" s="4">
        <v>25</v>
      </c>
      <c r="H33" s="4">
        <v>40</v>
      </c>
      <c r="I33" s="4">
        <f t="shared" si="1"/>
        <v>960</v>
      </c>
      <c r="J33" s="4">
        <f t="shared" si="2"/>
        <v>600</v>
      </c>
      <c r="K33" s="4">
        <f t="shared" si="3"/>
        <v>360</v>
      </c>
    </row>
    <row r="34" spans="1:11" x14ac:dyDescent="0.25">
      <c r="A34" s="2" t="s">
        <v>56</v>
      </c>
      <c r="B34" s="6" t="s">
        <v>57</v>
      </c>
      <c r="C34" s="6">
        <v>33</v>
      </c>
      <c r="D34" s="6">
        <v>38</v>
      </c>
      <c r="E34" s="6">
        <f t="shared" si="0"/>
        <v>49</v>
      </c>
      <c r="F34" s="6">
        <v>22</v>
      </c>
      <c r="G34" s="4">
        <v>20</v>
      </c>
      <c r="H34" s="4">
        <v>25</v>
      </c>
      <c r="I34" s="4">
        <f t="shared" si="1"/>
        <v>550</v>
      </c>
      <c r="J34" s="4">
        <f t="shared" si="2"/>
        <v>440</v>
      </c>
      <c r="K34" s="4">
        <f t="shared" si="3"/>
        <v>110</v>
      </c>
    </row>
    <row r="35" spans="1:11" x14ac:dyDescent="0.25">
      <c r="A35" s="2" t="s">
        <v>58</v>
      </c>
      <c r="B35" s="6" t="s">
        <v>13</v>
      </c>
      <c r="C35" s="6">
        <v>11</v>
      </c>
      <c r="D35" s="6">
        <v>32</v>
      </c>
      <c r="E35" s="6">
        <f t="shared" si="0"/>
        <v>28</v>
      </c>
      <c r="F35" s="6">
        <v>15</v>
      </c>
      <c r="G35" s="4">
        <v>135</v>
      </c>
      <c r="H35" s="4">
        <v>170</v>
      </c>
      <c r="I35" s="4">
        <f t="shared" si="1"/>
        <v>2550</v>
      </c>
      <c r="J35" s="4">
        <f t="shared" si="2"/>
        <v>2025</v>
      </c>
      <c r="K35" s="4">
        <f t="shared" si="3"/>
        <v>525</v>
      </c>
    </row>
    <row r="36" spans="1:11" x14ac:dyDescent="0.25">
      <c r="A36" s="2" t="s">
        <v>59</v>
      </c>
      <c r="B36" s="6" t="s">
        <v>13</v>
      </c>
      <c r="C36" s="6">
        <v>17</v>
      </c>
      <c r="D36" s="6">
        <v>17</v>
      </c>
      <c r="E36" s="6">
        <f t="shared" si="0"/>
        <v>24</v>
      </c>
      <c r="F36" s="6">
        <v>10</v>
      </c>
      <c r="G36" s="4">
        <v>300</v>
      </c>
      <c r="H36" s="4">
        <v>360</v>
      </c>
      <c r="I36" s="4">
        <f t="shared" si="1"/>
        <v>3600</v>
      </c>
      <c r="J36" s="4">
        <f t="shared" si="2"/>
        <v>3000</v>
      </c>
      <c r="K36" s="4">
        <f t="shared" si="3"/>
        <v>600</v>
      </c>
    </row>
    <row r="37" spans="1:11" x14ac:dyDescent="0.25">
      <c r="A37" s="2" t="s">
        <v>60</v>
      </c>
      <c r="B37" s="6" t="s">
        <v>13</v>
      </c>
      <c r="C37" s="6">
        <v>39</v>
      </c>
      <c r="D37" s="6">
        <v>30</v>
      </c>
      <c r="E37" s="6">
        <f t="shared" si="0"/>
        <v>42</v>
      </c>
      <c r="F37" s="6">
        <v>27</v>
      </c>
      <c r="G37" s="4">
        <v>70</v>
      </c>
      <c r="H37" s="4">
        <v>90</v>
      </c>
      <c r="I37" s="4">
        <f t="shared" si="1"/>
        <v>2430</v>
      </c>
      <c r="J37" s="4">
        <f t="shared" si="2"/>
        <v>1890</v>
      </c>
      <c r="K37" s="4">
        <f t="shared" si="3"/>
        <v>540</v>
      </c>
    </row>
    <row r="38" spans="1:11" x14ac:dyDescent="0.25">
      <c r="A38" s="2" t="s">
        <v>61</v>
      </c>
      <c r="B38" s="6" t="s">
        <v>13</v>
      </c>
      <c r="C38" s="6">
        <v>22</v>
      </c>
      <c r="D38" s="6">
        <v>20</v>
      </c>
      <c r="E38" s="6">
        <f t="shared" si="0"/>
        <v>26</v>
      </c>
      <c r="F38" s="6">
        <v>16</v>
      </c>
      <c r="G38" s="4">
        <v>65</v>
      </c>
      <c r="H38" s="4">
        <v>100</v>
      </c>
      <c r="I38" s="4">
        <f t="shared" si="1"/>
        <v>1600</v>
      </c>
      <c r="J38" s="4">
        <f t="shared" si="2"/>
        <v>1040</v>
      </c>
      <c r="K38" s="4">
        <f t="shared" si="3"/>
        <v>560</v>
      </c>
    </row>
    <row r="39" spans="1:11" x14ac:dyDescent="0.25">
      <c r="A39" s="2" t="s">
        <v>62</v>
      </c>
      <c r="B39" s="6" t="s">
        <v>13</v>
      </c>
      <c r="C39" s="6">
        <v>24</v>
      </c>
      <c r="D39" s="6">
        <v>24</v>
      </c>
      <c r="E39" s="6">
        <f t="shared" si="0"/>
        <v>34</v>
      </c>
      <c r="F39" s="6">
        <v>14</v>
      </c>
      <c r="G39" s="4">
        <v>45</v>
      </c>
      <c r="H39" s="4">
        <v>65</v>
      </c>
      <c r="I39" s="4">
        <f t="shared" si="1"/>
        <v>910</v>
      </c>
      <c r="J39" s="4">
        <f t="shared" si="2"/>
        <v>630</v>
      </c>
      <c r="K39" s="4">
        <f t="shared" si="3"/>
        <v>280</v>
      </c>
    </row>
    <row r="40" spans="1:11" x14ac:dyDescent="0.25">
      <c r="A40" s="2" t="s">
        <v>63</v>
      </c>
      <c r="B40" s="6" t="s">
        <v>80</v>
      </c>
      <c r="C40" s="6">
        <v>36</v>
      </c>
      <c r="D40" s="6">
        <v>38</v>
      </c>
      <c r="E40" s="6">
        <f t="shared" si="0"/>
        <v>41</v>
      </c>
      <c r="F40" s="6">
        <v>33</v>
      </c>
      <c r="G40" s="4">
        <v>20</v>
      </c>
      <c r="H40" s="4">
        <v>30</v>
      </c>
      <c r="I40" s="4">
        <f t="shared" si="1"/>
        <v>990</v>
      </c>
      <c r="J40" s="4">
        <f t="shared" si="2"/>
        <v>660</v>
      </c>
      <c r="K40" s="4">
        <f t="shared" si="3"/>
        <v>330</v>
      </c>
    </row>
    <row r="41" spans="1:11" x14ac:dyDescent="0.25">
      <c r="A41" s="2" t="s">
        <v>64</v>
      </c>
      <c r="B41" s="6" t="s">
        <v>80</v>
      </c>
      <c r="C41" s="6">
        <v>32</v>
      </c>
      <c r="D41" s="6">
        <v>21</v>
      </c>
      <c r="E41" s="6">
        <f t="shared" si="0"/>
        <v>29</v>
      </c>
      <c r="F41" s="6">
        <v>24</v>
      </c>
      <c r="G41" s="4">
        <v>12</v>
      </c>
      <c r="H41" s="4">
        <v>20</v>
      </c>
      <c r="I41" s="4">
        <f t="shared" si="1"/>
        <v>480</v>
      </c>
      <c r="J41" s="4">
        <f t="shared" si="2"/>
        <v>288</v>
      </c>
      <c r="K41" s="4">
        <f t="shared" si="3"/>
        <v>192</v>
      </c>
    </row>
    <row r="42" spans="1:11" x14ac:dyDescent="0.25">
      <c r="A42" s="2" t="s">
        <v>65</v>
      </c>
      <c r="B42" s="6" t="s">
        <v>14</v>
      </c>
      <c r="C42" s="6">
        <v>15</v>
      </c>
      <c r="D42" s="6">
        <v>8</v>
      </c>
      <c r="E42" s="6">
        <f t="shared" si="0"/>
        <v>15</v>
      </c>
      <c r="F42" s="6">
        <v>8</v>
      </c>
      <c r="G42" s="4">
        <v>55</v>
      </c>
      <c r="H42" s="4">
        <v>80</v>
      </c>
      <c r="I42" s="4">
        <f t="shared" si="1"/>
        <v>640</v>
      </c>
      <c r="J42" s="4">
        <f t="shared" si="2"/>
        <v>440</v>
      </c>
      <c r="K42" s="4">
        <f t="shared" si="3"/>
        <v>200</v>
      </c>
    </row>
    <row r="43" spans="1:11" x14ac:dyDescent="0.25">
      <c r="A43" s="2" t="s">
        <v>66</v>
      </c>
      <c r="B43" s="6" t="s">
        <v>14</v>
      </c>
      <c r="C43" s="6">
        <v>56</v>
      </c>
      <c r="D43" s="6">
        <v>31</v>
      </c>
      <c r="E43" s="6">
        <f t="shared" si="0"/>
        <v>59</v>
      </c>
      <c r="F43" s="6">
        <v>28</v>
      </c>
      <c r="G43" s="4">
        <v>7</v>
      </c>
      <c r="H43" s="4">
        <v>20</v>
      </c>
      <c r="I43" s="4">
        <f t="shared" si="1"/>
        <v>560</v>
      </c>
      <c r="J43" s="4">
        <f t="shared" si="2"/>
        <v>196</v>
      </c>
      <c r="K43" s="4">
        <f t="shared" si="3"/>
        <v>364</v>
      </c>
    </row>
    <row r="44" spans="1:11" x14ac:dyDescent="0.25">
      <c r="A44" s="2" t="s">
        <v>67</v>
      </c>
      <c r="B44" s="6" t="s">
        <v>15</v>
      </c>
      <c r="C44" s="6">
        <v>46</v>
      </c>
      <c r="D44" s="6">
        <v>29</v>
      </c>
      <c r="E44" s="6">
        <f t="shared" si="0"/>
        <v>59</v>
      </c>
      <c r="F44" s="6">
        <v>16</v>
      </c>
      <c r="G44" s="4">
        <v>35</v>
      </c>
      <c r="H44" s="4">
        <v>60</v>
      </c>
      <c r="I44" s="4">
        <f t="shared" si="1"/>
        <v>960</v>
      </c>
      <c r="J44" s="4">
        <f t="shared" si="2"/>
        <v>560</v>
      </c>
      <c r="K44" s="4">
        <f t="shared" si="3"/>
        <v>400</v>
      </c>
    </row>
    <row r="45" spans="1:11" x14ac:dyDescent="0.25">
      <c r="A45" s="2" t="s">
        <v>90</v>
      </c>
      <c r="B45" s="6" t="s">
        <v>15</v>
      </c>
      <c r="C45" s="6">
        <v>37</v>
      </c>
      <c r="D45" s="6">
        <v>16</v>
      </c>
      <c r="E45" s="6">
        <f t="shared" si="0"/>
        <v>45</v>
      </c>
      <c r="F45" s="6">
        <v>8</v>
      </c>
      <c r="G45" s="4">
        <v>185</v>
      </c>
      <c r="H45" s="4">
        <v>230</v>
      </c>
      <c r="I45" s="4">
        <f t="shared" si="1"/>
        <v>1840</v>
      </c>
      <c r="J45" s="4">
        <f t="shared" si="2"/>
        <v>1480</v>
      </c>
      <c r="K45" s="4">
        <f t="shared" si="3"/>
        <v>360</v>
      </c>
    </row>
    <row r="46" spans="1:11" x14ac:dyDescent="0.25">
      <c r="A46" s="2" t="s">
        <v>91</v>
      </c>
      <c r="B46" s="6" t="s">
        <v>15</v>
      </c>
      <c r="C46" s="6">
        <v>39</v>
      </c>
      <c r="D46" s="6">
        <v>26</v>
      </c>
      <c r="E46" s="6">
        <f t="shared" si="0"/>
        <v>53</v>
      </c>
      <c r="F46" s="6">
        <v>12</v>
      </c>
      <c r="G46" s="4">
        <v>140</v>
      </c>
      <c r="H46" s="4">
        <v>165</v>
      </c>
      <c r="I46" s="4">
        <f t="shared" si="1"/>
        <v>1980</v>
      </c>
      <c r="J46" s="4">
        <f t="shared" si="2"/>
        <v>1680</v>
      </c>
      <c r="K46" s="4">
        <f t="shared" si="3"/>
        <v>300</v>
      </c>
    </row>
    <row r="47" spans="1:11" x14ac:dyDescent="0.25">
      <c r="A47" s="2" t="s">
        <v>68</v>
      </c>
      <c r="B47" s="6" t="s">
        <v>81</v>
      </c>
      <c r="C47" s="6">
        <v>51</v>
      </c>
      <c r="D47" s="6">
        <v>24</v>
      </c>
      <c r="E47" s="6">
        <f t="shared" si="0"/>
        <v>62</v>
      </c>
      <c r="F47" s="6">
        <v>13</v>
      </c>
      <c r="G47" s="4">
        <v>120</v>
      </c>
      <c r="H47" s="4">
        <v>155</v>
      </c>
      <c r="I47" s="4">
        <f t="shared" si="1"/>
        <v>2015</v>
      </c>
      <c r="J47" s="4">
        <f t="shared" si="2"/>
        <v>1560</v>
      </c>
      <c r="K47" s="4">
        <f t="shared" si="3"/>
        <v>455</v>
      </c>
    </row>
    <row r="48" spans="1:11" x14ac:dyDescent="0.25">
      <c r="A48" s="2" t="s">
        <v>69</v>
      </c>
      <c r="B48" s="6" t="s">
        <v>81</v>
      </c>
      <c r="C48" s="6">
        <v>44</v>
      </c>
      <c r="D48" s="6">
        <v>33</v>
      </c>
      <c r="E48" s="6">
        <f t="shared" si="0"/>
        <v>59</v>
      </c>
      <c r="F48" s="6">
        <v>18</v>
      </c>
      <c r="G48" s="4">
        <v>25</v>
      </c>
      <c r="H48" s="4">
        <v>50</v>
      </c>
      <c r="I48" s="4">
        <f t="shared" si="1"/>
        <v>900</v>
      </c>
      <c r="J48" s="4">
        <f t="shared" si="2"/>
        <v>450</v>
      </c>
      <c r="K48" s="4">
        <f t="shared" si="3"/>
        <v>450</v>
      </c>
    </row>
    <row r="49" spans="1:11" x14ac:dyDescent="0.25">
      <c r="A49" s="2" t="s">
        <v>70</v>
      </c>
      <c r="B49" s="6" t="s">
        <v>81</v>
      </c>
      <c r="C49" s="6">
        <v>50</v>
      </c>
      <c r="D49" s="6">
        <v>22</v>
      </c>
      <c r="E49" s="6">
        <f t="shared" si="0"/>
        <v>46</v>
      </c>
      <c r="F49" s="6">
        <v>26</v>
      </c>
      <c r="G49" s="4">
        <v>105</v>
      </c>
      <c r="H49" s="4">
        <v>140</v>
      </c>
      <c r="I49" s="4">
        <f t="shared" si="1"/>
        <v>3640</v>
      </c>
      <c r="J49" s="4">
        <f t="shared" si="2"/>
        <v>2730</v>
      </c>
      <c r="K49" s="4">
        <f t="shared" si="3"/>
        <v>910</v>
      </c>
    </row>
    <row r="50" spans="1:11" x14ac:dyDescent="0.25">
      <c r="A50" s="2" t="s">
        <v>71</v>
      </c>
      <c r="B50" s="6" t="s">
        <v>17</v>
      </c>
      <c r="C50" s="6">
        <v>51</v>
      </c>
      <c r="D50" s="6">
        <v>43</v>
      </c>
      <c r="E50" s="6">
        <f t="shared" si="0"/>
        <v>72</v>
      </c>
      <c r="F50" s="6">
        <v>22</v>
      </c>
      <c r="G50" s="4">
        <v>10</v>
      </c>
      <c r="H50" s="4">
        <v>20</v>
      </c>
      <c r="I50" s="4">
        <f t="shared" si="1"/>
        <v>440</v>
      </c>
      <c r="J50" s="4">
        <f t="shared" si="2"/>
        <v>220</v>
      </c>
      <c r="K50" s="4">
        <f t="shared" si="3"/>
        <v>220</v>
      </c>
    </row>
    <row r="51" spans="1:11" x14ac:dyDescent="0.25">
      <c r="A51" s="2" t="s">
        <v>72</v>
      </c>
      <c r="B51" s="6" t="s">
        <v>17</v>
      </c>
      <c r="C51" s="6">
        <v>52</v>
      </c>
      <c r="D51" s="6">
        <v>35</v>
      </c>
      <c r="E51" s="6">
        <f t="shared" si="0"/>
        <v>69</v>
      </c>
      <c r="F51" s="6">
        <v>18</v>
      </c>
      <c r="G51" s="4">
        <v>8</v>
      </c>
      <c r="H51" s="4">
        <v>15</v>
      </c>
      <c r="I51" s="4">
        <f t="shared" si="1"/>
        <v>270</v>
      </c>
      <c r="J51" s="4">
        <f t="shared" si="2"/>
        <v>144</v>
      </c>
      <c r="K51" s="4">
        <f t="shared" si="3"/>
        <v>126</v>
      </c>
    </row>
    <row r="52" spans="1:11" x14ac:dyDescent="0.25">
      <c r="A52" s="2" t="s">
        <v>73</v>
      </c>
      <c r="B52" s="6" t="s">
        <v>17</v>
      </c>
      <c r="C52" s="6">
        <v>40</v>
      </c>
      <c r="D52" s="6">
        <v>30</v>
      </c>
      <c r="E52" s="6">
        <f t="shared" si="0"/>
        <v>55</v>
      </c>
      <c r="F52" s="6">
        <v>15</v>
      </c>
      <c r="G52" s="4">
        <v>12</v>
      </c>
      <c r="H52" s="4">
        <v>20</v>
      </c>
      <c r="I52" s="4">
        <f t="shared" si="1"/>
        <v>300</v>
      </c>
      <c r="J52" s="4">
        <f t="shared" si="2"/>
        <v>180</v>
      </c>
      <c r="K52" s="4">
        <f t="shared" si="3"/>
        <v>120</v>
      </c>
    </row>
    <row r="53" spans="1:11" x14ac:dyDescent="0.25">
      <c r="A53" s="2" t="s">
        <v>92</v>
      </c>
      <c r="B53" s="6" t="s">
        <v>17</v>
      </c>
      <c r="C53" s="6">
        <v>42</v>
      </c>
      <c r="D53" s="6">
        <v>32</v>
      </c>
      <c r="E53" s="6">
        <f t="shared" si="0"/>
        <v>57</v>
      </c>
      <c r="F53" s="6">
        <v>17</v>
      </c>
      <c r="G53" s="4">
        <v>12</v>
      </c>
      <c r="H53" s="4">
        <v>20</v>
      </c>
      <c r="I53" s="4">
        <f t="shared" si="1"/>
        <v>340</v>
      </c>
      <c r="J53" s="4">
        <f t="shared" si="2"/>
        <v>204</v>
      </c>
      <c r="K53" s="4">
        <f t="shared" si="3"/>
        <v>136</v>
      </c>
    </row>
    <row r="54" spans="1:11" x14ac:dyDescent="0.25">
      <c r="A54" s="2" t="s">
        <v>74</v>
      </c>
      <c r="B54" s="6" t="s">
        <v>82</v>
      </c>
      <c r="C54" s="6">
        <v>43</v>
      </c>
      <c r="D54" s="6">
        <v>21</v>
      </c>
      <c r="E54" s="6">
        <f t="shared" si="0"/>
        <v>54</v>
      </c>
      <c r="F54" s="6">
        <v>10</v>
      </c>
      <c r="G54" s="4">
        <v>140</v>
      </c>
      <c r="H54" s="4">
        <v>185</v>
      </c>
      <c r="I54" s="4">
        <f t="shared" si="1"/>
        <v>1850</v>
      </c>
      <c r="J54" s="4">
        <f t="shared" si="2"/>
        <v>1400</v>
      </c>
      <c r="K54" s="4">
        <f t="shared" si="3"/>
        <v>450</v>
      </c>
    </row>
    <row r="55" spans="1:11" x14ac:dyDescent="0.25">
      <c r="A55" s="2" t="s">
        <v>75</v>
      </c>
      <c r="B55" s="6" t="s">
        <v>82</v>
      </c>
      <c r="C55" s="6">
        <v>46</v>
      </c>
      <c r="D55" s="6">
        <v>18</v>
      </c>
      <c r="E55" s="6">
        <f t="shared" si="0"/>
        <v>52</v>
      </c>
      <c r="F55" s="6">
        <v>12</v>
      </c>
      <c r="G55" s="4">
        <v>140</v>
      </c>
      <c r="H55" s="4">
        <v>170</v>
      </c>
      <c r="I55" s="4">
        <f t="shared" si="1"/>
        <v>2040</v>
      </c>
      <c r="J55" s="4">
        <f t="shared" si="2"/>
        <v>1680</v>
      </c>
      <c r="K55" s="4">
        <f t="shared" si="3"/>
        <v>360</v>
      </c>
    </row>
    <row r="56" spans="1:11" x14ac:dyDescent="0.25">
      <c r="A56" s="2" t="s">
        <v>76</v>
      </c>
      <c r="B56" s="6" t="s">
        <v>82</v>
      </c>
      <c r="C56" s="6">
        <v>35</v>
      </c>
      <c r="D56" s="6">
        <v>20</v>
      </c>
      <c r="E56" s="6">
        <f t="shared" si="0"/>
        <v>45</v>
      </c>
      <c r="F56" s="6">
        <v>10</v>
      </c>
      <c r="G56" s="4">
        <v>185</v>
      </c>
      <c r="H56" s="4">
        <v>230</v>
      </c>
      <c r="I56" s="4">
        <f t="shared" si="1"/>
        <v>2300</v>
      </c>
      <c r="J56" s="4">
        <f t="shared" si="2"/>
        <v>1850</v>
      </c>
      <c r="K56" s="4">
        <f t="shared" si="3"/>
        <v>450</v>
      </c>
    </row>
    <row r="57" spans="1:11" x14ac:dyDescent="0.25">
      <c r="A57" s="2" t="s">
        <v>77</v>
      </c>
      <c r="B57" s="6" t="s">
        <v>82</v>
      </c>
      <c r="C57" s="6">
        <v>41</v>
      </c>
      <c r="D57" s="6">
        <v>15</v>
      </c>
      <c r="E57" s="6">
        <f t="shared" si="0"/>
        <v>48</v>
      </c>
      <c r="F57" s="6">
        <v>8</v>
      </c>
      <c r="G57" s="4">
        <v>160</v>
      </c>
      <c r="H57" s="4">
        <v>200</v>
      </c>
      <c r="I57" s="4">
        <f t="shared" si="1"/>
        <v>1600</v>
      </c>
      <c r="J57" s="4">
        <f t="shared" si="2"/>
        <v>1280</v>
      </c>
      <c r="K57" s="4">
        <f t="shared" si="3"/>
        <v>320</v>
      </c>
    </row>
    <row r="58" spans="1:11" x14ac:dyDescent="0.25">
      <c r="A58" s="2" t="s">
        <v>78</v>
      </c>
      <c r="B58" s="6" t="s">
        <v>82</v>
      </c>
      <c r="C58" s="6">
        <v>46</v>
      </c>
      <c r="D58" s="6">
        <v>24</v>
      </c>
      <c r="E58" s="6">
        <f t="shared" si="0"/>
        <v>57</v>
      </c>
      <c r="F58" s="6">
        <v>13</v>
      </c>
      <c r="G58" s="4">
        <v>75</v>
      </c>
      <c r="H58" s="4">
        <v>105</v>
      </c>
      <c r="I58" s="4">
        <f t="shared" si="1"/>
        <v>1365</v>
      </c>
      <c r="J58" s="4">
        <f t="shared" si="2"/>
        <v>975</v>
      </c>
      <c r="K58" s="4">
        <f t="shared" si="3"/>
        <v>390</v>
      </c>
    </row>
    <row r="59" spans="1:11" x14ac:dyDescent="0.25">
      <c r="A59" s="2" t="s">
        <v>79</v>
      </c>
      <c r="B59" s="6" t="s">
        <v>82</v>
      </c>
      <c r="C59" s="6">
        <v>38</v>
      </c>
      <c r="D59" s="6">
        <v>28</v>
      </c>
      <c r="E59" s="6">
        <f t="shared" si="0"/>
        <v>51</v>
      </c>
      <c r="F59" s="6">
        <v>15</v>
      </c>
      <c r="G59" s="4">
        <v>40</v>
      </c>
      <c r="H59" s="4">
        <v>60</v>
      </c>
      <c r="I59" s="4">
        <f t="shared" si="1"/>
        <v>900</v>
      </c>
      <c r="J59" s="4">
        <f t="shared" si="2"/>
        <v>600</v>
      </c>
      <c r="K59" s="4">
        <f t="shared" si="3"/>
        <v>300</v>
      </c>
    </row>
    <row r="60" spans="1:11" x14ac:dyDescent="0.25">
      <c r="A60" s="2" t="s">
        <v>83</v>
      </c>
      <c r="B60" s="6" t="s">
        <v>85</v>
      </c>
      <c r="C60" s="6">
        <v>76</v>
      </c>
      <c r="D60" s="6">
        <v>32</v>
      </c>
      <c r="E60" s="6">
        <f t="shared" si="0"/>
        <v>91</v>
      </c>
      <c r="F60" s="6">
        <v>17</v>
      </c>
      <c r="G60" s="4">
        <v>18</v>
      </c>
      <c r="H60" s="4">
        <v>30</v>
      </c>
      <c r="I60" s="4">
        <f t="shared" si="1"/>
        <v>510</v>
      </c>
      <c r="J60" s="4">
        <f t="shared" si="2"/>
        <v>306</v>
      </c>
      <c r="K60" s="4">
        <f t="shared" si="3"/>
        <v>204</v>
      </c>
    </row>
    <row r="61" spans="1:11" x14ac:dyDescent="0.25">
      <c r="A61" s="2" t="s">
        <v>84</v>
      </c>
      <c r="B61" s="6" t="s">
        <v>85</v>
      </c>
      <c r="C61" s="6">
        <v>56</v>
      </c>
      <c r="D61" s="6">
        <v>28</v>
      </c>
      <c r="E61" s="6">
        <f t="shared" si="0"/>
        <v>69</v>
      </c>
      <c r="F61" s="6">
        <v>15</v>
      </c>
      <c r="G61" s="4">
        <v>25</v>
      </c>
      <c r="H61" s="4">
        <v>40</v>
      </c>
      <c r="I61" s="4">
        <f t="shared" si="1"/>
        <v>600</v>
      </c>
      <c r="J61" s="4">
        <f t="shared" si="2"/>
        <v>375</v>
      </c>
      <c r="K61" s="4">
        <f t="shared" si="3"/>
        <v>225</v>
      </c>
    </row>
    <row r="62" spans="1:11" x14ac:dyDescent="0.25">
      <c r="A62" s="2" t="s">
        <v>86</v>
      </c>
      <c r="B62" s="6" t="s">
        <v>85</v>
      </c>
      <c r="C62" s="6">
        <v>56</v>
      </c>
      <c r="D62" s="6">
        <v>33</v>
      </c>
      <c r="E62" s="6">
        <f t="shared" si="0"/>
        <v>73</v>
      </c>
      <c r="F62" s="6">
        <v>16</v>
      </c>
      <c r="G62" s="4">
        <v>10</v>
      </c>
      <c r="H62" s="4">
        <v>15</v>
      </c>
      <c r="I62" s="4">
        <f t="shared" si="1"/>
        <v>240</v>
      </c>
      <c r="J62" s="4">
        <f t="shared" si="2"/>
        <v>160</v>
      </c>
      <c r="K62" s="4">
        <f t="shared" si="3"/>
        <v>80</v>
      </c>
    </row>
    <row r="63" spans="1:11" x14ac:dyDescent="0.25">
      <c r="A63" s="2" t="s">
        <v>88</v>
      </c>
      <c r="B63" s="6" t="s">
        <v>10</v>
      </c>
      <c r="C63" s="6">
        <v>51</v>
      </c>
      <c r="D63" s="6">
        <v>32</v>
      </c>
      <c r="E63" s="6">
        <f t="shared" si="0"/>
        <v>45</v>
      </c>
      <c r="F63" s="6">
        <v>38</v>
      </c>
      <c r="G63" s="4">
        <v>5</v>
      </c>
      <c r="H63" s="4">
        <v>8</v>
      </c>
      <c r="I63" s="4">
        <f t="shared" si="1"/>
        <v>304</v>
      </c>
      <c r="J63" s="4">
        <f t="shared" si="2"/>
        <v>190</v>
      </c>
      <c r="K63" s="4">
        <f t="shared" si="3"/>
        <v>114</v>
      </c>
    </row>
    <row r="64" spans="1:11" x14ac:dyDescent="0.25">
      <c r="A64" s="2" t="s">
        <v>87</v>
      </c>
      <c r="B64" s="6" t="s">
        <v>10</v>
      </c>
      <c r="C64" s="6">
        <v>72</v>
      </c>
      <c r="D64" s="6">
        <v>28</v>
      </c>
      <c r="E64" s="6">
        <f t="shared" si="0"/>
        <v>74</v>
      </c>
      <c r="F64" s="6">
        <v>26</v>
      </c>
      <c r="G64" s="4">
        <v>7</v>
      </c>
      <c r="H64" s="4">
        <v>15</v>
      </c>
      <c r="I64" s="4">
        <f t="shared" si="1"/>
        <v>390</v>
      </c>
      <c r="J64" s="4">
        <f t="shared" si="2"/>
        <v>182</v>
      </c>
      <c r="K64" s="4">
        <f t="shared" si="3"/>
        <v>208</v>
      </c>
    </row>
    <row r="65" spans="1:11" x14ac:dyDescent="0.25">
      <c r="A65" s="2" t="s">
        <v>89</v>
      </c>
      <c r="B65" s="6" t="s">
        <v>10</v>
      </c>
      <c r="C65" s="6">
        <v>67</v>
      </c>
      <c r="D65" s="6">
        <v>27</v>
      </c>
      <c r="E65" s="6">
        <f t="shared" si="0"/>
        <v>65</v>
      </c>
      <c r="F65" s="6">
        <v>29</v>
      </c>
      <c r="G65" s="4">
        <v>2</v>
      </c>
      <c r="H65" s="4">
        <v>5</v>
      </c>
      <c r="I65" s="4">
        <f t="shared" si="1"/>
        <v>145</v>
      </c>
      <c r="J65" s="4">
        <f t="shared" si="2"/>
        <v>58</v>
      </c>
      <c r="K65" s="4">
        <f t="shared" si="3"/>
        <v>87</v>
      </c>
    </row>
  </sheetData>
  <conditionalFormatting sqref="J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924A-583D-40BE-81A5-F786698506D9}">
  <dimension ref="A1:K65"/>
  <sheetViews>
    <sheetView workbookViewId="0">
      <selection activeCell="E14" sqref="E14:E17"/>
    </sheetView>
  </sheetViews>
  <sheetFormatPr defaultRowHeight="15" x14ac:dyDescent="0.25"/>
  <cols>
    <col min="1" max="1" width="67.28515625" bestFit="1" customWidth="1"/>
    <col min="2" max="2" width="25.5703125" bestFit="1" customWidth="1"/>
    <col min="3" max="3" width="14.28515625" customWidth="1"/>
    <col min="4" max="4" width="16.28515625" customWidth="1"/>
    <col min="5" max="5" width="12.7109375" customWidth="1"/>
    <col min="6" max="6" width="14.140625" bestFit="1" customWidth="1"/>
    <col min="7" max="7" width="14" bestFit="1" customWidth="1"/>
    <col min="8" max="8" width="18.140625" customWidth="1"/>
    <col min="9" max="9" width="13.85546875" bestFit="1" customWidth="1"/>
    <col min="10" max="10" width="14.5703125" customWidth="1"/>
  </cols>
  <sheetData>
    <row r="1" spans="1:11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22</v>
      </c>
      <c r="B2" s="2" t="s">
        <v>19</v>
      </c>
      <c r="C2" s="2">
        <v>63</v>
      </c>
      <c r="D2" s="6">
        <v>67</v>
      </c>
      <c r="E2" s="2">
        <f>C2+D2-F2</f>
        <v>68</v>
      </c>
      <c r="F2" s="2">
        <v>62</v>
      </c>
      <c r="G2" s="2">
        <v>90</v>
      </c>
      <c r="H2" s="2">
        <v>120</v>
      </c>
      <c r="I2" s="2">
        <f>F2*H2</f>
        <v>7440</v>
      </c>
      <c r="J2" s="2">
        <f>F2*G2</f>
        <v>5580</v>
      </c>
      <c r="K2" s="2">
        <f>I2-J2</f>
        <v>1860</v>
      </c>
    </row>
    <row r="3" spans="1:11" x14ac:dyDescent="0.25">
      <c r="A3" s="2" t="s">
        <v>21</v>
      </c>
      <c r="B3" s="2" t="s">
        <v>19</v>
      </c>
      <c r="C3" s="2">
        <v>56</v>
      </c>
      <c r="D3" s="6">
        <v>72</v>
      </c>
      <c r="E3" s="2">
        <f t="shared" ref="E3:E65" si="0">C3+D3-F3</f>
        <v>76</v>
      </c>
      <c r="F3" s="2">
        <v>52</v>
      </c>
      <c r="G3" s="2">
        <v>135</v>
      </c>
      <c r="H3" s="2">
        <v>160</v>
      </c>
      <c r="I3" s="2">
        <f t="shared" ref="I3:I65" si="1">F3*H3</f>
        <v>8320</v>
      </c>
      <c r="J3" s="2">
        <f t="shared" ref="J3:J65" si="2">F3*G3</f>
        <v>7020</v>
      </c>
      <c r="K3" s="2">
        <f t="shared" ref="K3:K65" si="3">I3-J3</f>
        <v>1300</v>
      </c>
    </row>
    <row r="4" spans="1:11" x14ac:dyDescent="0.25">
      <c r="A4" s="2" t="s">
        <v>20</v>
      </c>
      <c r="B4" s="2" t="s">
        <v>19</v>
      </c>
      <c r="C4" s="2">
        <v>74</v>
      </c>
      <c r="D4" s="6">
        <v>50</v>
      </c>
      <c r="E4" s="2">
        <f t="shared" si="0"/>
        <v>75</v>
      </c>
      <c r="F4" s="2">
        <v>49</v>
      </c>
      <c r="G4" s="2">
        <v>165</v>
      </c>
      <c r="H4" s="2">
        <v>185</v>
      </c>
      <c r="I4" s="2">
        <f t="shared" si="1"/>
        <v>9065</v>
      </c>
      <c r="J4" s="2">
        <f t="shared" si="2"/>
        <v>8085</v>
      </c>
      <c r="K4" s="2">
        <f t="shared" si="3"/>
        <v>980</v>
      </c>
    </row>
    <row r="5" spans="1:11" x14ac:dyDescent="0.25">
      <c r="A5" s="2" t="s">
        <v>23</v>
      </c>
      <c r="B5" s="2" t="s">
        <v>32</v>
      </c>
      <c r="C5" s="2">
        <v>47</v>
      </c>
      <c r="D5" s="6">
        <v>63</v>
      </c>
      <c r="E5" s="2">
        <f t="shared" si="0"/>
        <v>53</v>
      </c>
      <c r="F5" s="2">
        <v>57</v>
      </c>
      <c r="G5" s="2">
        <v>25</v>
      </c>
      <c r="H5" s="2">
        <v>35</v>
      </c>
      <c r="I5" s="2">
        <f t="shared" si="1"/>
        <v>1995</v>
      </c>
      <c r="J5" s="2">
        <f t="shared" si="2"/>
        <v>1425</v>
      </c>
      <c r="K5" s="2">
        <f t="shared" si="3"/>
        <v>570</v>
      </c>
    </row>
    <row r="6" spans="1:11" x14ac:dyDescent="0.25">
      <c r="A6" s="2" t="s">
        <v>24</v>
      </c>
      <c r="B6" s="2" t="s">
        <v>32</v>
      </c>
      <c r="C6" s="2">
        <v>60</v>
      </c>
      <c r="D6" s="6">
        <v>52</v>
      </c>
      <c r="E6" s="2">
        <f t="shared" si="0"/>
        <v>66</v>
      </c>
      <c r="F6" s="2">
        <v>46</v>
      </c>
      <c r="G6" s="2">
        <v>30</v>
      </c>
      <c r="H6" s="2">
        <v>55</v>
      </c>
      <c r="I6" s="2">
        <f t="shared" si="1"/>
        <v>2530</v>
      </c>
      <c r="J6" s="2">
        <f t="shared" si="2"/>
        <v>1380</v>
      </c>
      <c r="K6" s="2">
        <f t="shared" si="3"/>
        <v>1150</v>
      </c>
    </row>
    <row r="7" spans="1:11" x14ac:dyDescent="0.25">
      <c r="A7" s="2" t="s">
        <v>25</v>
      </c>
      <c r="B7" s="2" t="s">
        <v>32</v>
      </c>
      <c r="C7" s="2">
        <v>56</v>
      </c>
      <c r="D7" s="6">
        <v>62</v>
      </c>
      <c r="E7" s="2">
        <f t="shared" si="0"/>
        <v>51</v>
      </c>
      <c r="F7" s="2">
        <v>67</v>
      </c>
      <c r="G7" s="2">
        <v>18</v>
      </c>
      <c r="H7" s="2">
        <v>30</v>
      </c>
      <c r="I7" s="2">
        <f t="shared" si="1"/>
        <v>2010</v>
      </c>
      <c r="J7" s="2">
        <f t="shared" si="2"/>
        <v>1206</v>
      </c>
      <c r="K7" s="2">
        <f t="shared" si="3"/>
        <v>804</v>
      </c>
    </row>
    <row r="8" spans="1:11" x14ac:dyDescent="0.25">
      <c r="A8" s="2" t="s">
        <v>26</v>
      </c>
      <c r="B8" s="2" t="s">
        <v>32</v>
      </c>
      <c r="C8" s="2">
        <v>89</v>
      </c>
      <c r="D8" s="6">
        <v>65</v>
      </c>
      <c r="E8" s="2">
        <f t="shared" si="0"/>
        <v>93</v>
      </c>
      <c r="F8" s="2">
        <v>61</v>
      </c>
      <c r="G8" s="2">
        <v>50</v>
      </c>
      <c r="H8" s="2">
        <v>65</v>
      </c>
      <c r="I8" s="2">
        <f t="shared" si="1"/>
        <v>3965</v>
      </c>
      <c r="J8" s="2">
        <f t="shared" si="2"/>
        <v>3050</v>
      </c>
      <c r="K8" s="2">
        <f t="shared" si="3"/>
        <v>915</v>
      </c>
    </row>
    <row r="9" spans="1:11" x14ac:dyDescent="0.25">
      <c r="A9" s="2" t="s">
        <v>27</v>
      </c>
      <c r="B9" s="2" t="s">
        <v>33</v>
      </c>
      <c r="C9" s="2">
        <v>51</v>
      </c>
      <c r="D9" s="6">
        <v>53</v>
      </c>
      <c r="E9" s="2">
        <f t="shared" si="0"/>
        <v>62</v>
      </c>
      <c r="F9" s="2">
        <v>42</v>
      </c>
      <c r="G9" s="2">
        <v>35</v>
      </c>
      <c r="H9" s="2">
        <v>50</v>
      </c>
      <c r="I9" s="2">
        <f t="shared" si="1"/>
        <v>2100</v>
      </c>
      <c r="J9" s="2">
        <f t="shared" si="2"/>
        <v>1470</v>
      </c>
      <c r="K9" s="2">
        <f t="shared" si="3"/>
        <v>630</v>
      </c>
    </row>
    <row r="10" spans="1:11" x14ac:dyDescent="0.25">
      <c r="A10" s="2" t="s">
        <v>28</v>
      </c>
      <c r="B10" s="2" t="s">
        <v>33</v>
      </c>
      <c r="C10" s="2">
        <v>55</v>
      </c>
      <c r="D10" s="6">
        <v>48</v>
      </c>
      <c r="E10" s="2">
        <f t="shared" si="0"/>
        <v>59</v>
      </c>
      <c r="F10" s="2">
        <v>44</v>
      </c>
      <c r="G10" s="2">
        <v>22</v>
      </c>
      <c r="H10" s="2">
        <v>40</v>
      </c>
      <c r="I10" s="2">
        <f t="shared" si="1"/>
        <v>1760</v>
      </c>
      <c r="J10" s="2">
        <f t="shared" si="2"/>
        <v>968</v>
      </c>
      <c r="K10" s="2">
        <f t="shared" si="3"/>
        <v>792</v>
      </c>
    </row>
    <row r="11" spans="1:11" x14ac:dyDescent="0.25">
      <c r="A11" s="2" t="s">
        <v>29</v>
      </c>
      <c r="B11" s="2" t="s">
        <v>16</v>
      </c>
      <c r="C11" s="2">
        <v>48</v>
      </c>
      <c r="D11" s="6">
        <v>37</v>
      </c>
      <c r="E11" s="2">
        <f t="shared" si="0"/>
        <v>46</v>
      </c>
      <c r="F11" s="2">
        <v>39</v>
      </c>
      <c r="G11" s="2">
        <v>190</v>
      </c>
      <c r="H11" s="2">
        <v>220</v>
      </c>
      <c r="I11" s="2">
        <f t="shared" si="1"/>
        <v>8580</v>
      </c>
      <c r="J11" s="2">
        <f t="shared" si="2"/>
        <v>7410</v>
      </c>
      <c r="K11" s="2">
        <f t="shared" si="3"/>
        <v>1170</v>
      </c>
    </row>
    <row r="12" spans="1:11" x14ac:dyDescent="0.25">
      <c r="A12" s="2" t="s">
        <v>30</v>
      </c>
      <c r="B12" s="2" t="s">
        <v>16</v>
      </c>
      <c r="C12" s="2">
        <v>65</v>
      </c>
      <c r="D12" s="6">
        <v>45</v>
      </c>
      <c r="E12" s="2">
        <f t="shared" si="0"/>
        <v>65</v>
      </c>
      <c r="F12" s="2">
        <v>45</v>
      </c>
      <c r="G12" s="2">
        <v>65</v>
      </c>
      <c r="H12" s="2">
        <v>85</v>
      </c>
      <c r="I12" s="2">
        <f t="shared" si="1"/>
        <v>3825</v>
      </c>
      <c r="J12" s="2">
        <f t="shared" si="2"/>
        <v>2925</v>
      </c>
      <c r="K12" s="2">
        <f t="shared" si="3"/>
        <v>900</v>
      </c>
    </row>
    <row r="13" spans="1:11" x14ac:dyDescent="0.25">
      <c r="A13" s="2" t="s">
        <v>31</v>
      </c>
      <c r="B13" s="2" t="s">
        <v>16</v>
      </c>
      <c r="C13" s="2">
        <v>66</v>
      </c>
      <c r="D13" s="6">
        <v>60</v>
      </c>
      <c r="E13" s="2">
        <f t="shared" si="0"/>
        <v>56</v>
      </c>
      <c r="F13" s="2">
        <v>70</v>
      </c>
      <c r="G13" s="2">
        <v>30</v>
      </c>
      <c r="H13" s="2">
        <v>42</v>
      </c>
      <c r="I13" s="2">
        <f t="shared" si="1"/>
        <v>2940</v>
      </c>
      <c r="J13" s="2">
        <f t="shared" si="2"/>
        <v>2100</v>
      </c>
      <c r="K13" s="2">
        <f t="shared" si="3"/>
        <v>840</v>
      </c>
    </row>
    <row r="14" spans="1:11" x14ac:dyDescent="0.25">
      <c r="A14" s="2" t="s">
        <v>34</v>
      </c>
      <c r="B14" s="2" t="s">
        <v>38</v>
      </c>
      <c r="C14" s="2">
        <v>73</v>
      </c>
      <c r="D14" s="6">
        <v>42</v>
      </c>
      <c r="E14" s="2">
        <f t="shared" si="0"/>
        <v>66</v>
      </c>
      <c r="F14" s="2">
        <v>49</v>
      </c>
      <c r="G14" s="2">
        <v>25</v>
      </c>
      <c r="H14" s="2">
        <v>40</v>
      </c>
      <c r="I14" s="2">
        <f t="shared" si="1"/>
        <v>1960</v>
      </c>
      <c r="J14" s="2">
        <f t="shared" si="2"/>
        <v>1225</v>
      </c>
      <c r="K14" s="2">
        <f t="shared" si="3"/>
        <v>735</v>
      </c>
    </row>
    <row r="15" spans="1:11" x14ac:dyDescent="0.25">
      <c r="A15" s="2" t="s">
        <v>35</v>
      </c>
      <c r="B15" s="2" t="s">
        <v>38</v>
      </c>
      <c r="C15" s="2">
        <v>83</v>
      </c>
      <c r="D15" s="6">
        <v>35</v>
      </c>
      <c r="E15" s="2">
        <f t="shared" si="0"/>
        <v>76</v>
      </c>
      <c r="F15" s="2">
        <v>42</v>
      </c>
      <c r="G15" s="2">
        <v>45</v>
      </c>
      <c r="H15" s="2">
        <v>60</v>
      </c>
      <c r="I15" s="2">
        <f t="shared" si="1"/>
        <v>2520</v>
      </c>
      <c r="J15" s="2">
        <f t="shared" si="2"/>
        <v>1890</v>
      </c>
      <c r="K15" s="2">
        <f t="shared" si="3"/>
        <v>630</v>
      </c>
    </row>
    <row r="16" spans="1:11" x14ac:dyDescent="0.25">
      <c r="A16" s="2" t="s">
        <v>36</v>
      </c>
      <c r="B16" s="2" t="s">
        <v>38</v>
      </c>
      <c r="C16" s="2">
        <v>62</v>
      </c>
      <c r="D16" s="6">
        <v>48</v>
      </c>
      <c r="E16" s="2">
        <f t="shared" si="0"/>
        <v>62</v>
      </c>
      <c r="F16" s="2">
        <v>48</v>
      </c>
      <c r="G16" s="2">
        <v>40</v>
      </c>
      <c r="H16" s="2">
        <v>60</v>
      </c>
      <c r="I16" s="2">
        <f t="shared" si="1"/>
        <v>2880</v>
      </c>
      <c r="J16" s="2">
        <f t="shared" si="2"/>
        <v>1920</v>
      </c>
      <c r="K16" s="2">
        <f t="shared" si="3"/>
        <v>960</v>
      </c>
    </row>
    <row r="17" spans="1:11" x14ac:dyDescent="0.25">
      <c r="A17" s="2" t="s">
        <v>37</v>
      </c>
      <c r="B17" s="2" t="s">
        <v>38</v>
      </c>
      <c r="C17" s="2">
        <v>56</v>
      </c>
      <c r="D17" s="6">
        <v>42</v>
      </c>
      <c r="E17" s="2">
        <f t="shared" si="0"/>
        <v>61</v>
      </c>
      <c r="F17" s="2">
        <v>37</v>
      </c>
      <c r="G17" s="2">
        <v>65</v>
      </c>
      <c r="H17" s="2">
        <v>80</v>
      </c>
      <c r="I17" s="2">
        <f t="shared" si="1"/>
        <v>2960</v>
      </c>
      <c r="J17" s="2">
        <f t="shared" si="2"/>
        <v>2405</v>
      </c>
      <c r="K17" s="2">
        <f t="shared" si="3"/>
        <v>555</v>
      </c>
    </row>
    <row r="18" spans="1:11" x14ac:dyDescent="0.25">
      <c r="A18" s="2" t="s">
        <v>39</v>
      </c>
      <c r="B18" s="2" t="s">
        <v>40</v>
      </c>
      <c r="C18" s="2">
        <v>75</v>
      </c>
      <c r="D18" s="6">
        <v>35</v>
      </c>
      <c r="E18" s="2">
        <f t="shared" si="0"/>
        <v>69</v>
      </c>
      <c r="F18" s="2">
        <v>41</v>
      </c>
      <c r="G18" s="2">
        <v>80</v>
      </c>
      <c r="H18" s="2">
        <v>100</v>
      </c>
      <c r="I18" s="2">
        <f t="shared" si="1"/>
        <v>4100</v>
      </c>
      <c r="J18" s="2">
        <f t="shared" si="2"/>
        <v>3280</v>
      </c>
      <c r="K18" s="2">
        <f t="shared" si="3"/>
        <v>820</v>
      </c>
    </row>
    <row r="19" spans="1:11" x14ac:dyDescent="0.25">
      <c r="A19" s="2" t="s">
        <v>41</v>
      </c>
      <c r="B19" s="2" t="s">
        <v>40</v>
      </c>
      <c r="C19" s="2">
        <v>58</v>
      </c>
      <c r="D19" s="6">
        <v>47</v>
      </c>
      <c r="E19" s="2">
        <f t="shared" si="0"/>
        <v>56</v>
      </c>
      <c r="F19" s="2">
        <v>49</v>
      </c>
      <c r="G19" s="2">
        <v>35</v>
      </c>
      <c r="H19" s="2">
        <v>50</v>
      </c>
      <c r="I19" s="2">
        <f t="shared" si="1"/>
        <v>2450</v>
      </c>
      <c r="J19" s="2">
        <f t="shared" si="2"/>
        <v>1715</v>
      </c>
      <c r="K19" s="2">
        <f t="shared" si="3"/>
        <v>735</v>
      </c>
    </row>
    <row r="20" spans="1:11" x14ac:dyDescent="0.25">
      <c r="A20" s="2" t="s">
        <v>42</v>
      </c>
      <c r="B20" s="2" t="s">
        <v>40</v>
      </c>
      <c r="C20" s="2">
        <v>51</v>
      </c>
      <c r="D20" s="6">
        <v>35</v>
      </c>
      <c r="E20" s="2">
        <f t="shared" si="0"/>
        <v>56</v>
      </c>
      <c r="F20" s="2">
        <v>30</v>
      </c>
      <c r="G20" s="2">
        <v>45</v>
      </c>
      <c r="H20" s="2">
        <v>60</v>
      </c>
      <c r="I20" s="2">
        <f t="shared" si="1"/>
        <v>1800</v>
      </c>
      <c r="J20" s="2">
        <f t="shared" si="2"/>
        <v>1350</v>
      </c>
      <c r="K20" s="2">
        <f t="shared" si="3"/>
        <v>450</v>
      </c>
    </row>
    <row r="21" spans="1:11" x14ac:dyDescent="0.25">
      <c r="A21" s="2" t="s">
        <v>43</v>
      </c>
      <c r="B21" s="2" t="s">
        <v>40</v>
      </c>
      <c r="C21" s="2">
        <v>45</v>
      </c>
      <c r="D21" s="6">
        <v>37</v>
      </c>
      <c r="E21" s="2">
        <f t="shared" si="0"/>
        <v>45</v>
      </c>
      <c r="F21" s="2">
        <v>37</v>
      </c>
      <c r="G21" s="2">
        <v>70</v>
      </c>
      <c r="H21" s="2">
        <v>90</v>
      </c>
      <c r="I21" s="2">
        <f t="shared" si="1"/>
        <v>3330</v>
      </c>
      <c r="J21" s="2">
        <f t="shared" si="2"/>
        <v>2590</v>
      </c>
      <c r="K21" s="2">
        <f t="shared" si="3"/>
        <v>740</v>
      </c>
    </row>
    <row r="22" spans="1:11" x14ac:dyDescent="0.25">
      <c r="A22" s="2" t="s">
        <v>44</v>
      </c>
      <c r="B22" s="2" t="s">
        <v>40</v>
      </c>
      <c r="C22" s="2">
        <v>59</v>
      </c>
      <c r="D22" s="6">
        <v>42</v>
      </c>
      <c r="E22" s="2">
        <f t="shared" si="0"/>
        <v>59</v>
      </c>
      <c r="F22" s="2">
        <v>42</v>
      </c>
      <c r="G22" s="2">
        <v>85</v>
      </c>
      <c r="H22" s="2">
        <v>100</v>
      </c>
      <c r="I22" s="2">
        <f t="shared" si="1"/>
        <v>4200</v>
      </c>
      <c r="J22" s="2">
        <f t="shared" si="2"/>
        <v>3570</v>
      </c>
      <c r="K22" s="2">
        <f t="shared" si="3"/>
        <v>630</v>
      </c>
    </row>
    <row r="23" spans="1:11" x14ac:dyDescent="0.25">
      <c r="A23" s="2" t="s">
        <v>45</v>
      </c>
      <c r="B23" s="2" t="s">
        <v>40</v>
      </c>
      <c r="C23" s="2">
        <v>63</v>
      </c>
      <c r="D23" s="6">
        <v>35</v>
      </c>
      <c r="E23" s="2">
        <f t="shared" si="0"/>
        <v>59</v>
      </c>
      <c r="F23" s="2">
        <v>39</v>
      </c>
      <c r="G23" s="2">
        <v>80</v>
      </c>
      <c r="H23" s="2">
        <v>100</v>
      </c>
      <c r="I23" s="2">
        <f t="shared" si="1"/>
        <v>3900</v>
      </c>
      <c r="J23" s="2">
        <f t="shared" si="2"/>
        <v>3120</v>
      </c>
      <c r="K23" s="2">
        <f t="shared" si="3"/>
        <v>780</v>
      </c>
    </row>
    <row r="24" spans="1:11" x14ac:dyDescent="0.25">
      <c r="A24" s="2" t="s">
        <v>46</v>
      </c>
      <c r="B24" s="2" t="s">
        <v>40</v>
      </c>
      <c r="C24" s="2">
        <v>59</v>
      </c>
      <c r="D24" s="6">
        <v>38</v>
      </c>
      <c r="E24" s="2">
        <f t="shared" si="0"/>
        <v>60</v>
      </c>
      <c r="F24" s="2">
        <v>37</v>
      </c>
      <c r="G24" s="2">
        <v>35</v>
      </c>
      <c r="H24" s="2">
        <v>50</v>
      </c>
      <c r="I24" s="2">
        <f t="shared" si="1"/>
        <v>1850</v>
      </c>
      <c r="J24" s="2">
        <f t="shared" si="2"/>
        <v>1295</v>
      </c>
      <c r="K24" s="2">
        <f t="shared" si="3"/>
        <v>555</v>
      </c>
    </row>
    <row r="25" spans="1:11" x14ac:dyDescent="0.25">
      <c r="A25" s="2" t="s">
        <v>47</v>
      </c>
      <c r="B25" s="2" t="s">
        <v>40</v>
      </c>
      <c r="C25" s="2">
        <v>47</v>
      </c>
      <c r="D25" s="6">
        <v>43</v>
      </c>
      <c r="E25" s="2">
        <f t="shared" si="0"/>
        <v>61</v>
      </c>
      <c r="F25" s="2">
        <v>29</v>
      </c>
      <c r="G25" s="2">
        <v>75</v>
      </c>
      <c r="H25" s="2">
        <v>100</v>
      </c>
      <c r="I25" s="2">
        <f t="shared" si="1"/>
        <v>2900</v>
      </c>
      <c r="J25" s="2">
        <f t="shared" si="2"/>
        <v>2175</v>
      </c>
      <c r="K25" s="2">
        <f t="shared" si="3"/>
        <v>725</v>
      </c>
    </row>
    <row r="26" spans="1:11" x14ac:dyDescent="0.25">
      <c r="A26" s="2" t="s">
        <v>48</v>
      </c>
      <c r="B26" s="2" t="s">
        <v>11</v>
      </c>
      <c r="C26" s="2">
        <v>18</v>
      </c>
      <c r="D26" s="6">
        <v>16</v>
      </c>
      <c r="E26" s="2">
        <f t="shared" si="0"/>
        <v>23</v>
      </c>
      <c r="F26" s="2">
        <v>11</v>
      </c>
      <c r="G26" s="2">
        <v>200</v>
      </c>
      <c r="H26" s="2">
        <v>250</v>
      </c>
      <c r="I26" s="2">
        <f t="shared" si="1"/>
        <v>2750</v>
      </c>
      <c r="J26" s="2">
        <f t="shared" si="2"/>
        <v>2200</v>
      </c>
      <c r="K26" s="2">
        <f t="shared" si="3"/>
        <v>550</v>
      </c>
    </row>
    <row r="27" spans="1:11" x14ac:dyDescent="0.25">
      <c r="A27" s="2" t="s">
        <v>49</v>
      </c>
      <c r="B27" s="2" t="s">
        <v>11</v>
      </c>
      <c r="C27" s="2">
        <v>18</v>
      </c>
      <c r="D27" s="6">
        <v>12</v>
      </c>
      <c r="E27" s="2">
        <f t="shared" si="0"/>
        <v>15</v>
      </c>
      <c r="F27" s="2">
        <v>15</v>
      </c>
      <c r="G27" s="2">
        <v>175</v>
      </c>
      <c r="H27" s="2">
        <v>200</v>
      </c>
      <c r="I27" s="2">
        <f t="shared" si="1"/>
        <v>3000</v>
      </c>
      <c r="J27" s="2">
        <f t="shared" si="2"/>
        <v>2625</v>
      </c>
      <c r="K27" s="2">
        <f t="shared" si="3"/>
        <v>375</v>
      </c>
    </row>
    <row r="28" spans="1:11" x14ac:dyDescent="0.25">
      <c r="A28" s="2" t="s">
        <v>50</v>
      </c>
      <c r="B28" s="2" t="s">
        <v>11</v>
      </c>
      <c r="C28" s="2">
        <v>17</v>
      </c>
      <c r="D28" s="6">
        <v>15</v>
      </c>
      <c r="E28" s="2">
        <f t="shared" si="0"/>
        <v>10</v>
      </c>
      <c r="F28" s="2">
        <v>22</v>
      </c>
      <c r="G28" s="2">
        <v>130</v>
      </c>
      <c r="H28" s="2">
        <v>155</v>
      </c>
      <c r="I28" s="2">
        <f t="shared" si="1"/>
        <v>3410</v>
      </c>
      <c r="J28" s="2">
        <f t="shared" si="2"/>
        <v>2860</v>
      </c>
      <c r="K28" s="2">
        <f t="shared" si="3"/>
        <v>550</v>
      </c>
    </row>
    <row r="29" spans="1:11" x14ac:dyDescent="0.25">
      <c r="A29" s="2" t="s">
        <v>51</v>
      </c>
      <c r="B29" s="2" t="s">
        <v>12</v>
      </c>
      <c r="C29" s="2">
        <v>52</v>
      </c>
      <c r="D29" s="6">
        <v>38</v>
      </c>
      <c r="E29" s="2">
        <f t="shared" si="0"/>
        <v>42</v>
      </c>
      <c r="F29" s="2">
        <v>48</v>
      </c>
      <c r="G29" s="2">
        <v>7</v>
      </c>
      <c r="H29" s="2">
        <v>12</v>
      </c>
      <c r="I29" s="2">
        <f t="shared" si="1"/>
        <v>576</v>
      </c>
      <c r="J29" s="2">
        <f t="shared" si="2"/>
        <v>336</v>
      </c>
      <c r="K29" s="2">
        <f t="shared" si="3"/>
        <v>240</v>
      </c>
    </row>
    <row r="30" spans="1:11" x14ac:dyDescent="0.25">
      <c r="A30" s="2" t="s">
        <v>52</v>
      </c>
      <c r="B30" s="2" t="s">
        <v>12</v>
      </c>
      <c r="C30" s="2">
        <v>37</v>
      </c>
      <c r="D30" s="6">
        <v>37</v>
      </c>
      <c r="E30" s="2">
        <f t="shared" si="0"/>
        <v>31</v>
      </c>
      <c r="F30" s="2">
        <v>43</v>
      </c>
      <c r="G30" s="2">
        <v>5</v>
      </c>
      <c r="H30" s="2">
        <v>10</v>
      </c>
      <c r="I30" s="2">
        <f t="shared" si="1"/>
        <v>430</v>
      </c>
      <c r="J30" s="2">
        <f t="shared" si="2"/>
        <v>215</v>
      </c>
      <c r="K30" s="2">
        <f t="shared" si="3"/>
        <v>215</v>
      </c>
    </row>
    <row r="31" spans="1:11" x14ac:dyDescent="0.25">
      <c r="A31" s="2" t="s">
        <v>53</v>
      </c>
      <c r="B31" s="2" t="s">
        <v>57</v>
      </c>
      <c r="C31" s="2">
        <v>57</v>
      </c>
      <c r="D31" s="6">
        <v>35</v>
      </c>
      <c r="E31" s="2">
        <f t="shared" si="0"/>
        <v>59</v>
      </c>
      <c r="F31" s="2">
        <v>33</v>
      </c>
      <c r="G31" s="2">
        <v>45</v>
      </c>
      <c r="H31" s="2">
        <v>60</v>
      </c>
      <c r="I31" s="2">
        <f t="shared" si="1"/>
        <v>1980</v>
      </c>
      <c r="J31" s="2">
        <f t="shared" si="2"/>
        <v>1485</v>
      </c>
      <c r="K31" s="2">
        <f t="shared" si="3"/>
        <v>495</v>
      </c>
    </row>
    <row r="32" spans="1:11" x14ac:dyDescent="0.25">
      <c r="A32" s="2" t="s">
        <v>54</v>
      </c>
      <c r="B32" s="2" t="s">
        <v>57</v>
      </c>
      <c r="C32" s="2">
        <v>59</v>
      </c>
      <c r="D32" s="6">
        <v>38</v>
      </c>
      <c r="E32" s="2">
        <f t="shared" si="0"/>
        <v>71</v>
      </c>
      <c r="F32" s="2">
        <v>26</v>
      </c>
      <c r="G32" s="2">
        <v>65</v>
      </c>
      <c r="H32" s="2">
        <v>80</v>
      </c>
      <c r="I32" s="2">
        <f t="shared" si="1"/>
        <v>2080</v>
      </c>
      <c r="J32" s="2">
        <f t="shared" si="2"/>
        <v>1690</v>
      </c>
      <c r="K32" s="2">
        <f t="shared" si="3"/>
        <v>390</v>
      </c>
    </row>
    <row r="33" spans="1:11" x14ac:dyDescent="0.25">
      <c r="A33" s="2" t="s">
        <v>55</v>
      </c>
      <c r="B33" s="2" t="s">
        <v>57</v>
      </c>
      <c r="C33" s="2">
        <v>43</v>
      </c>
      <c r="D33" s="6">
        <v>28</v>
      </c>
      <c r="E33" s="2">
        <f t="shared" si="0"/>
        <v>38</v>
      </c>
      <c r="F33" s="2">
        <v>33</v>
      </c>
      <c r="G33" s="2">
        <v>25</v>
      </c>
      <c r="H33" s="2">
        <v>40</v>
      </c>
      <c r="I33" s="2">
        <f t="shared" si="1"/>
        <v>1320</v>
      </c>
      <c r="J33" s="2">
        <f t="shared" si="2"/>
        <v>825</v>
      </c>
      <c r="K33" s="2">
        <f t="shared" si="3"/>
        <v>495</v>
      </c>
    </row>
    <row r="34" spans="1:11" x14ac:dyDescent="0.25">
      <c r="A34" s="2" t="s">
        <v>56</v>
      </c>
      <c r="B34" s="2" t="s">
        <v>57</v>
      </c>
      <c r="C34" s="2">
        <v>51</v>
      </c>
      <c r="D34" s="6">
        <v>42</v>
      </c>
      <c r="E34" s="2">
        <f t="shared" si="0"/>
        <v>63</v>
      </c>
      <c r="F34" s="2">
        <v>30</v>
      </c>
      <c r="G34" s="2">
        <v>20</v>
      </c>
      <c r="H34" s="2">
        <v>25</v>
      </c>
      <c r="I34" s="2">
        <f t="shared" si="1"/>
        <v>750</v>
      </c>
      <c r="J34" s="2">
        <f t="shared" si="2"/>
        <v>600</v>
      </c>
      <c r="K34" s="2">
        <f t="shared" si="3"/>
        <v>150</v>
      </c>
    </row>
    <row r="35" spans="1:11" x14ac:dyDescent="0.25">
      <c r="A35" s="2" t="s">
        <v>58</v>
      </c>
      <c r="B35" s="2" t="s">
        <v>13</v>
      </c>
      <c r="C35" s="2">
        <v>26</v>
      </c>
      <c r="D35" s="6">
        <v>25</v>
      </c>
      <c r="E35" s="2">
        <f t="shared" si="0"/>
        <v>29</v>
      </c>
      <c r="F35" s="2">
        <v>22</v>
      </c>
      <c r="G35" s="2">
        <v>135</v>
      </c>
      <c r="H35" s="2">
        <v>170</v>
      </c>
      <c r="I35" s="2">
        <f t="shared" si="1"/>
        <v>3740</v>
      </c>
      <c r="J35" s="2">
        <f t="shared" si="2"/>
        <v>2970</v>
      </c>
      <c r="K35" s="2">
        <f t="shared" si="3"/>
        <v>770</v>
      </c>
    </row>
    <row r="36" spans="1:11" x14ac:dyDescent="0.25">
      <c r="A36" s="2" t="s">
        <v>59</v>
      </c>
      <c r="B36" s="2" t="s">
        <v>13</v>
      </c>
      <c r="C36" s="2">
        <v>27</v>
      </c>
      <c r="D36" s="6">
        <v>17</v>
      </c>
      <c r="E36" s="2">
        <f t="shared" si="0"/>
        <v>30</v>
      </c>
      <c r="F36" s="2">
        <v>14</v>
      </c>
      <c r="G36" s="2">
        <v>300</v>
      </c>
      <c r="H36" s="2">
        <v>360</v>
      </c>
      <c r="I36" s="2">
        <f t="shared" si="1"/>
        <v>5040</v>
      </c>
      <c r="J36" s="2">
        <f t="shared" si="2"/>
        <v>4200</v>
      </c>
      <c r="K36" s="2">
        <f t="shared" si="3"/>
        <v>840</v>
      </c>
    </row>
    <row r="37" spans="1:11" x14ac:dyDescent="0.25">
      <c r="A37" s="2" t="s">
        <v>60</v>
      </c>
      <c r="B37" s="2" t="s">
        <v>13</v>
      </c>
      <c r="C37" s="2">
        <v>42</v>
      </c>
      <c r="D37" s="6">
        <v>23</v>
      </c>
      <c r="E37" s="2">
        <f t="shared" si="0"/>
        <v>47</v>
      </c>
      <c r="F37" s="2">
        <v>18</v>
      </c>
      <c r="G37" s="2">
        <v>70</v>
      </c>
      <c r="H37" s="2">
        <v>90</v>
      </c>
      <c r="I37" s="2">
        <f t="shared" si="1"/>
        <v>1620</v>
      </c>
      <c r="J37" s="2">
        <f t="shared" si="2"/>
        <v>1260</v>
      </c>
      <c r="K37" s="2">
        <f t="shared" si="3"/>
        <v>360</v>
      </c>
    </row>
    <row r="38" spans="1:11" x14ac:dyDescent="0.25">
      <c r="A38" s="2" t="s">
        <v>61</v>
      </c>
      <c r="B38" s="2" t="s">
        <v>13</v>
      </c>
      <c r="C38" s="2">
        <v>26</v>
      </c>
      <c r="D38" s="6">
        <v>25</v>
      </c>
      <c r="E38" s="2">
        <f t="shared" si="0"/>
        <v>25</v>
      </c>
      <c r="F38" s="2">
        <v>26</v>
      </c>
      <c r="G38" s="2">
        <v>65</v>
      </c>
      <c r="H38" s="2">
        <v>100</v>
      </c>
      <c r="I38" s="2">
        <f t="shared" si="1"/>
        <v>2600</v>
      </c>
      <c r="J38" s="2">
        <f t="shared" si="2"/>
        <v>1690</v>
      </c>
      <c r="K38" s="2">
        <f t="shared" si="3"/>
        <v>910</v>
      </c>
    </row>
    <row r="39" spans="1:11" x14ac:dyDescent="0.25">
      <c r="A39" s="2" t="s">
        <v>62</v>
      </c>
      <c r="B39" s="2" t="s">
        <v>13</v>
      </c>
      <c r="C39" s="2">
        <v>35</v>
      </c>
      <c r="D39" s="6">
        <v>20</v>
      </c>
      <c r="E39" s="2">
        <f t="shared" si="0"/>
        <v>33</v>
      </c>
      <c r="F39" s="2">
        <v>22</v>
      </c>
      <c r="G39" s="2">
        <v>45</v>
      </c>
      <c r="H39" s="2">
        <v>65</v>
      </c>
      <c r="I39" s="2">
        <f t="shared" si="1"/>
        <v>1430</v>
      </c>
      <c r="J39" s="2">
        <f t="shared" si="2"/>
        <v>990</v>
      </c>
      <c r="K39" s="2">
        <f t="shared" si="3"/>
        <v>440</v>
      </c>
    </row>
    <row r="40" spans="1:11" x14ac:dyDescent="0.25">
      <c r="A40" s="2" t="s">
        <v>63</v>
      </c>
      <c r="B40" s="2" t="s">
        <v>80</v>
      </c>
      <c r="C40" s="2">
        <v>38</v>
      </c>
      <c r="D40" s="6">
        <v>36</v>
      </c>
      <c r="E40" s="2">
        <f t="shared" si="0"/>
        <v>46</v>
      </c>
      <c r="F40" s="2">
        <v>28</v>
      </c>
      <c r="G40" s="2">
        <v>20</v>
      </c>
      <c r="H40" s="2">
        <v>30</v>
      </c>
      <c r="I40" s="2">
        <f t="shared" si="1"/>
        <v>840</v>
      </c>
      <c r="J40" s="2">
        <f t="shared" si="2"/>
        <v>560</v>
      </c>
      <c r="K40" s="2">
        <f t="shared" si="3"/>
        <v>280</v>
      </c>
    </row>
    <row r="41" spans="1:11" x14ac:dyDescent="0.25">
      <c r="A41" s="2" t="s">
        <v>64</v>
      </c>
      <c r="B41" s="2" t="s">
        <v>80</v>
      </c>
      <c r="C41" s="2">
        <v>28</v>
      </c>
      <c r="D41" s="6">
        <v>28</v>
      </c>
      <c r="E41" s="2">
        <f t="shared" si="0"/>
        <v>33</v>
      </c>
      <c r="F41" s="2">
        <v>23</v>
      </c>
      <c r="G41" s="2">
        <v>12</v>
      </c>
      <c r="H41" s="2">
        <v>20</v>
      </c>
      <c r="I41" s="2">
        <f t="shared" si="1"/>
        <v>460</v>
      </c>
      <c r="J41" s="2">
        <f t="shared" si="2"/>
        <v>276</v>
      </c>
      <c r="K41" s="2">
        <f t="shared" si="3"/>
        <v>184</v>
      </c>
    </row>
    <row r="42" spans="1:11" x14ac:dyDescent="0.25">
      <c r="A42" s="2" t="s">
        <v>65</v>
      </c>
      <c r="B42" s="2" t="s">
        <v>14</v>
      </c>
      <c r="C42" s="2">
        <v>17</v>
      </c>
      <c r="D42" s="6">
        <v>15</v>
      </c>
      <c r="E42" s="2">
        <f t="shared" si="0"/>
        <v>17</v>
      </c>
      <c r="F42" s="2">
        <v>15</v>
      </c>
      <c r="G42" s="2">
        <v>55</v>
      </c>
      <c r="H42" s="2">
        <v>80</v>
      </c>
      <c r="I42" s="2">
        <f t="shared" si="1"/>
        <v>1200</v>
      </c>
      <c r="J42" s="2">
        <f t="shared" si="2"/>
        <v>825</v>
      </c>
      <c r="K42" s="2">
        <f t="shared" si="3"/>
        <v>375</v>
      </c>
    </row>
    <row r="43" spans="1:11" x14ac:dyDescent="0.25">
      <c r="A43" s="2" t="s">
        <v>66</v>
      </c>
      <c r="B43" s="2" t="s">
        <v>14</v>
      </c>
      <c r="C43" s="2">
        <v>58</v>
      </c>
      <c r="D43" s="6">
        <v>32</v>
      </c>
      <c r="E43" s="2">
        <f t="shared" si="0"/>
        <v>46</v>
      </c>
      <c r="F43" s="2">
        <v>44</v>
      </c>
      <c r="G43" s="2">
        <v>7</v>
      </c>
      <c r="H43" s="2">
        <v>20</v>
      </c>
      <c r="I43" s="2">
        <f t="shared" si="1"/>
        <v>880</v>
      </c>
      <c r="J43" s="2">
        <f t="shared" si="2"/>
        <v>308</v>
      </c>
      <c r="K43" s="2">
        <f t="shared" si="3"/>
        <v>572</v>
      </c>
    </row>
    <row r="44" spans="1:11" x14ac:dyDescent="0.25">
      <c r="A44" s="2" t="s">
        <v>67</v>
      </c>
      <c r="B44" s="2" t="s">
        <v>15</v>
      </c>
      <c r="C44" s="2">
        <v>60</v>
      </c>
      <c r="D44" s="6">
        <v>40</v>
      </c>
      <c r="E44" s="2">
        <f t="shared" si="0"/>
        <v>71</v>
      </c>
      <c r="F44" s="2">
        <v>29</v>
      </c>
      <c r="G44" s="2">
        <v>35</v>
      </c>
      <c r="H44" s="2">
        <v>60</v>
      </c>
      <c r="I44" s="2">
        <f t="shared" si="1"/>
        <v>1740</v>
      </c>
      <c r="J44" s="2">
        <f t="shared" si="2"/>
        <v>1015</v>
      </c>
      <c r="K44" s="2">
        <f t="shared" si="3"/>
        <v>725</v>
      </c>
    </row>
    <row r="45" spans="1:11" x14ac:dyDescent="0.25">
      <c r="A45" s="2" t="s">
        <v>90</v>
      </c>
      <c r="B45" s="2" t="s">
        <v>15</v>
      </c>
      <c r="C45" s="2">
        <v>44</v>
      </c>
      <c r="D45" s="6">
        <v>32</v>
      </c>
      <c r="E45" s="2">
        <f t="shared" si="0"/>
        <v>64</v>
      </c>
      <c r="F45" s="2">
        <v>12</v>
      </c>
      <c r="G45" s="2">
        <v>185</v>
      </c>
      <c r="H45" s="2">
        <v>230</v>
      </c>
      <c r="I45" s="2">
        <f t="shared" si="1"/>
        <v>2760</v>
      </c>
      <c r="J45" s="2">
        <f t="shared" si="2"/>
        <v>2220</v>
      </c>
      <c r="K45" s="2">
        <f t="shared" si="3"/>
        <v>540</v>
      </c>
    </row>
    <row r="46" spans="1:11" x14ac:dyDescent="0.25">
      <c r="A46" s="2" t="s">
        <v>91</v>
      </c>
      <c r="B46" s="2" t="s">
        <v>15</v>
      </c>
      <c r="C46" s="2">
        <v>52</v>
      </c>
      <c r="D46" s="6">
        <v>35</v>
      </c>
      <c r="E46" s="2">
        <f t="shared" si="0"/>
        <v>69</v>
      </c>
      <c r="F46" s="2">
        <v>18</v>
      </c>
      <c r="G46" s="2">
        <v>140</v>
      </c>
      <c r="H46" s="2">
        <v>165</v>
      </c>
      <c r="I46" s="2">
        <f t="shared" si="1"/>
        <v>2970</v>
      </c>
      <c r="J46" s="2">
        <f t="shared" si="2"/>
        <v>2520</v>
      </c>
      <c r="K46" s="2">
        <f t="shared" si="3"/>
        <v>450</v>
      </c>
    </row>
    <row r="47" spans="1:11" x14ac:dyDescent="0.25">
      <c r="A47" s="2" t="s">
        <v>68</v>
      </c>
      <c r="B47" s="2" t="s">
        <v>81</v>
      </c>
      <c r="C47" s="2">
        <v>63</v>
      </c>
      <c r="D47" s="6">
        <v>27</v>
      </c>
      <c r="E47" s="2">
        <f t="shared" si="0"/>
        <v>65</v>
      </c>
      <c r="F47" s="2">
        <v>25</v>
      </c>
      <c r="G47" s="2">
        <v>120</v>
      </c>
      <c r="H47" s="2">
        <v>155</v>
      </c>
      <c r="I47" s="2">
        <f t="shared" si="1"/>
        <v>3875</v>
      </c>
      <c r="J47" s="2">
        <f t="shared" si="2"/>
        <v>3000</v>
      </c>
      <c r="K47" s="2">
        <f t="shared" si="3"/>
        <v>875</v>
      </c>
    </row>
    <row r="48" spans="1:11" x14ac:dyDescent="0.25">
      <c r="A48" s="2" t="s">
        <v>69</v>
      </c>
      <c r="B48" s="2" t="s">
        <v>81</v>
      </c>
      <c r="C48" s="2">
        <v>61</v>
      </c>
      <c r="D48" s="6">
        <v>31</v>
      </c>
      <c r="E48" s="2">
        <f t="shared" si="0"/>
        <v>53</v>
      </c>
      <c r="F48" s="2">
        <v>39</v>
      </c>
      <c r="G48" s="2">
        <v>25</v>
      </c>
      <c r="H48" s="2">
        <v>50</v>
      </c>
      <c r="I48" s="2">
        <f t="shared" si="1"/>
        <v>1950</v>
      </c>
      <c r="J48" s="2">
        <f t="shared" si="2"/>
        <v>975</v>
      </c>
      <c r="K48" s="2">
        <f t="shared" si="3"/>
        <v>975</v>
      </c>
    </row>
    <row r="49" spans="1:11" x14ac:dyDescent="0.25">
      <c r="A49" s="2" t="s">
        <v>70</v>
      </c>
      <c r="B49" s="2" t="s">
        <v>81</v>
      </c>
      <c r="C49" s="2">
        <v>44</v>
      </c>
      <c r="D49" s="6">
        <v>39</v>
      </c>
      <c r="E49" s="2">
        <f t="shared" si="0"/>
        <v>61</v>
      </c>
      <c r="F49" s="2">
        <v>22</v>
      </c>
      <c r="G49" s="2">
        <v>105</v>
      </c>
      <c r="H49" s="2">
        <v>140</v>
      </c>
      <c r="I49" s="2">
        <f t="shared" si="1"/>
        <v>3080</v>
      </c>
      <c r="J49" s="2">
        <f t="shared" si="2"/>
        <v>2310</v>
      </c>
      <c r="K49" s="2">
        <f t="shared" si="3"/>
        <v>770</v>
      </c>
    </row>
    <row r="50" spans="1:11" x14ac:dyDescent="0.25">
      <c r="A50" s="2" t="s">
        <v>71</v>
      </c>
      <c r="B50" s="2" t="s">
        <v>17</v>
      </c>
      <c r="C50" s="2">
        <v>69</v>
      </c>
      <c r="D50" s="6">
        <v>28</v>
      </c>
      <c r="E50" s="2">
        <f t="shared" si="0"/>
        <v>69</v>
      </c>
      <c r="F50" s="2">
        <v>28</v>
      </c>
      <c r="G50" s="2">
        <v>10</v>
      </c>
      <c r="H50" s="2">
        <v>20</v>
      </c>
      <c r="I50" s="2">
        <f t="shared" si="1"/>
        <v>560</v>
      </c>
      <c r="J50" s="2">
        <f t="shared" si="2"/>
        <v>280</v>
      </c>
      <c r="K50" s="2">
        <f t="shared" si="3"/>
        <v>280</v>
      </c>
    </row>
    <row r="51" spans="1:11" x14ac:dyDescent="0.25">
      <c r="A51" s="2" t="s">
        <v>72</v>
      </c>
      <c r="B51" s="2" t="s">
        <v>17</v>
      </c>
      <c r="C51" s="2">
        <v>69</v>
      </c>
      <c r="D51" s="6">
        <v>43</v>
      </c>
      <c r="E51" s="2">
        <f t="shared" si="0"/>
        <v>89</v>
      </c>
      <c r="F51" s="2">
        <v>23</v>
      </c>
      <c r="G51" s="2">
        <v>8</v>
      </c>
      <c r="H51" s="2">
        <v>15</v>
      </c>
      <c r="I51" s="2">
        <f t="shared" si="1"/>
        <v>345</v>
      </c>
      <c r="J51" s="2">
        <f t="shared" si="2"/>
        <v>184</v>
      </c>
      <c r="K51" s="2">
        <f t="shared" si="3"/>
        <v>161</v>
      </c>
    </row>
    <row r="52" spans="1:11" x14ac:dyDescent="0.25">
      <c r="A52" s="2" t="s">
        <v>73</v>
      </c>
      <c r="B52" s="2" t="s">
        <v>17</v>
      </c>
      <c r="C52" s="2">
        <v>55</v>
      </c>
      <c r="D52" s="6">
        <v>27</v>
      </c>
      <c r="E52" s="2">
        <f t="shared" si="0"/>
        <v>55</v>
      </c>
      <c r="F52" s="2">
        <v>27</v>
      </c>
      <c r="G52" s="2">
        <v>12</v>
      </c>
      <c r="H52" s="2">
        <v>20</v>
      </c>
      <c r="I52" s="2">
        <f t="shared" si="1"/>
        <v>540</v>
      </c>
      <c r="J52" s="2">
        <f t="shared" si="2"/>
        <v>324</v>
      </c>
      <c r="K52" s="2">
        <f t="shared" si="3"/>
        <v>216</v>
      </c>
    </row>
    <row r="53" spans="1:11" x14ac:dyDescent="0.25">
      <c r="A53" s="2" t="s">
        <v>92</v>
      </c>
      <c r="B53" s="2" t="s">
        <v>17</v>
      </c>
      <c r="C53" s="2">
        <v>55</v>
      </c>
      <c r="D53" s="6">
        <v>45</v>
      </c>
      <c r="E53" s="2">
        <f t="shared" si="0"/>
        <v>76</v>
      </c>
      <c r="F53" s="2">
        <v>24</v>
      </c>
      <c r="G53" s="2">
        <v>12</v>
      </c>
      <c r="H53" s="2">
        <v>20</v>
      </c>
      <c r="I53" s="2">
        <f t="shared" si="1"/>
        <v>480</v>
      </c>
      <c r="J53" s="2">
        <f t="shared" si="2"/>
        <v>288</v>
      </c>
      <c r="K53" s="2">
        <f t="shared" si="3"/>
        <v>192</v>
      </c>
    </row>
    <row r="54" spans="1:11" x14ac:dyDescent="0.25">
      <c r="A54" s="2" t="s">
        <v>74</v>
      </c>
      <c r="B54" s="2" t="s">
        <v>82</v>
      </c>
      <c r="C54" s="2">
        <v>53</v>
      </c>
      <c r="D54" s="6">
        <v>20</v>
      </c>
      <c r="E54" s="2">
        <f t="shared" si="0"/>
        <v>44</v>
      </c>
      <c r="F54" s="2">
        <v>29</v>
      </c>
      <c r="G54" s="2">
        <v>140</v>
      </c>
      <c r="H54" s="2">
        <v>185</v>
      </c>
      <c r="I54" s="2">
        <f t="shared" si="1"/>
        <v>5365</v>
      </c>
      <c r="J54" s="2">
        <f t="shared" si="2"/>
        <v>4060</v>
      </c>
      <c r="K54" s="2">
        <f t="shared" si="3"/>
        <v>1305</v>
      </c>
    </row>
    <row r="55" spans="1:11" x14ac:dyDescent="0.25">
      <c r="A55" s="2" t="s">
        <v>75</v>
      </c>
      <c r="B55" s="2" t="s">
        <v>82</v>
      </c>
      <c r="C55" s="2">
        <v>54</v>
      </c>
      <c r="D55" s="6">
        <v>21</v>
      </c>
      <c r="E55" s="2">
        <f t="shared" si="0"/>
        <v>59</v>
      </c>
      <c r="F55" s="2">
        <v>16</v>
      </c>
      <c r="G55" s="2">
        <v>140</v>
      </c>
      <c r="H55" s="2">
        <v>170</v>
      </c>
      <c r="I55" s="2">
        <f t="shared" si="1"/>
        <v>2720</v>
      </c>
      <c r="J55" s="2">
        <f t="shared" si="2"/>
        <v>2240</v>
      </c>
      <c r="K55" s="2">
        <f t="shared" si="3"/>
        <v>480</v>
      </c>
    </row>
    <row r="56" spans="1:11" x14ac:dyDescent="0.25">
      <c r="A56" s="2" t="s">
        <v>76</v>
      </c>
      <c r="B56" s="2" t="s">
        <v>82</v>
      </c>
      <c r="C56" s="2">
        <v>45</v>
      </c>
      <c r="D56" s="6">
        <v>27</v>
      </c>
      <c r="E56" s="2">
        <f t="shared" si="0"/>
        <v>49</v>
      </c>
      <c r="F56" s="2">
        <v>23</v>
      </c>
      <c r="G56" s="2">
        <v>185</v>
      </c>
      <c r="H56" s="2">
        <v>230</v>
      </c>
      <c r="I56" s="2">
        <f t="shared" si="1"/>
        <v>5290</v>
      </c>
      <c r="J56" s="2">
        <f t="shared" si="2"/>
        <v>4255</v>
      </c>
      <c r="K56" s="2">
        <f t="shared" si="3"/>
        <v>1035</v>
      </c>
    </row>
    <row r="57" spans="1:11" x14ac:dyDescent="0.25">
      <c r="A57" s="2" t="s">
        <v>77</v>
      </c>
      <c r="B57" s="2" t="s">
        <v>82</v>
      </c>
      <c r="C57" s="2">
        <v>48</v>
      </c>
      <c r="D57" s="6">
        <v>25</v>
      </c>
      <c r="E57" s="2">
        <f t="shared" si="0"/>
        <v>56</v>
      </c>
      <c r="F57" s="2">
        <v>17</v>
      </c>
      <c r="G57" s="2">
        <v>160</v>
      </c>
      <c r="H57" s="2">
        <v>200</v>
      </c>
      <c r="I57" s="2">
        <f t="shared" si="1"/>
        <v>3400</v>
      </c>
      <c r="J57" s="2">
        <f t="shared" si="2"/>
        <v>2720</v>
      </c>
      <c r="K57" s="2">
        <f t="shared" si="3"/>
        <v>680</v>
      </c>
    </row>
    <row r="58" spans="1:11" x14ac:dyDescent="0.25">
      <c r="A58" s="2" t="s">
        <v>78</v>
      </c>
      <c r="B58" s="2" t="s">
        <v>82</v>
      </c>
      <c r="C58" s="2">
        <v>57</v>
      </c>
      <c r="D58" s="6">
        <v>18</v>
      </c>
      <c r="E58" s="2">
        <f t="shared" si="0"/>
        <v>53</v>
      </c>
      <c r="F58" s="2">
        <v>22</v>
      </c>
      <c r="G58" s="2">
        <v>75</v>
      </c>
      <c r="H58" s="2">
        <v>105</v>
      </c>
      <c r="I58" s="2">
        <f t="shared" si="1"/>
        <v>2310</v>
      </c>
      <c r="J58" s="2">
        <f t="shared" si="2"/>
        <v>1650</v>
      </c>
      <c r="K58" s="2">
        <f t="shared" si="3"/>
        <v>660</v>
      </c>
    </row>
    <row r="59" spans="1:11" x14ac:dyDescent="0.25">
      <c r="A59" s="2" t="s">
        <v>79</v>
      </c>
      <c r="B59" s="2" t="s">
        <v>82</v>
      </c>
      <c r="C59" s="2">
        <v>51</v>
      </c>
      <c r="D59" s="6">
        <v>22</v>
      </c>
      <c r="E59" s="2">
        <f t="shared" si="0"/>
        <v>48</v>
      </c>
      <c r="F59" s="2">
        <v>25</v>
      </c>
      <c r="G59" s="2">
        <v>40</v>
      </c>
      <c r="H59" s="2">
        <v>60</v>
      </c>
      <c r="I59" s="2">
        <f t="shared" si="1"/>
        <v>1500</v>
      </c>
      <c r="J59" s="2">
        <f t="shared" si="2"/>
        <v>1000</v>
      </c>
      <c r="K59" s="2">
        <f t="shared" si="3"/>
        <v>500</v>
      </c>
    </row>
    <row r="60" spans="1:11" x14ac:dyDescent="0.25">
      <c r="A60" s="2" t="s">
        <v>83</v>
      </c>
      <c r="B60" s="2" t="s">
        <v>85</v>
      </c>
      <c r="C60" s="2">
        <v>91</v>
      </c>
      <c r="D60" s="6">
        <v>34</v>
      </c>
      <c r="E60" s="2">
        <f t="shared" si="0"/>
        <v>84</v>
      </c>
      <c r="F60" s="2">
        <v>41</v>
      </c>
      <c r="G60" s="2">
        <v>18</v>
      </c>
      <c r="H60" s="2">
        <v>30</v>
      </c>
      <c r="I60" s="2">
        <f t="shared" si="1"/>
        <v>1230</v>
      </c>
      <c r="J60" s="2">
        <f t="shared" si="2"/>
        <v>738</v>
      </c>
      <c r="K60" s="2">
        <f t="shared" si="3"/>
        <v>492</v>
      </c>
    </row>
    <row r="61" spans="1:11" x14ac:dyDescent="0.25">
      <c r="A61" s="2" t="s">
        <v>84</v>
      </c>
      <c r="B61" s="2" t="s">
        <v>85</v>
      </c>
      <c r="C61" s="2">
        <v>69</v>
      </c>
      <c r="D61" s="6">
        <v>30</v>
      </c>
      <c r="E61" s="2">
        <f t="shared" si="0"/>
        <v>67</v>
      </c>
      <c r="F61" s="2">
        <v>32</v>
      </c>
      <c r="G61" s="2">
        <v>25</v>
      </c>
      <c r="H61" s="2">
        <v>40</v>
      </c>
      <c r="I61" s="2">
        <f t="shared" si="1"/>
        <v>1280</v>
      </c>
      <c r="J61" s="2">
        <f t="shared" si="2"/>
        <v>800</v>
      </c>
      <c r="K61" s="2">
        <f t="shared" si="3"/>
        <v>480</v>
      </c>
    </row>
    <row r="62" spans="1:11" x14ac:dyDescent="0.25">
      <c r="A62" s="2" t="s">
        <v>86</v>
      </c>
      <c r="B62" s="2" t="s">
        <v>85</v>
      </c>
      <c r="C62" s="2">
        <v>70</v>
      </c>
      <c r="D62" s="6">
        <v>28</v>
      </c>
      <c r="E62" s="2">
        <f t="shared" si="0"/>
        <v>65</v>
      </c>
      <c r="F62" s="2">
        <v>33</v>
      </c>
      <c r="G62" s="2">
        <v>10</v>
      </c>
      <c r="H62" s="2">
        <v>15</v>
      </c>
      <c r="I62" s="2">
        <f t="shared" si="1"/>
        <v>495</v>
      </c>
      <c r="J62" s="2">
        <f t="shared" si="2"/>
        <v>330</v>
      </c>
      <c r="K62" s="2">
        <f t="shared" si="3"/>
        <v>165</v>
      </c>
    </row>
    <row r="63" spans="1:11" x14ac:dyDescent="0.25">
      <c r="A63" s="2" t="s">
        <v>88</v>
      </c>
      <c r="B63" s="2" t="s">
        <v>10</v>
      </c>
      <c r="C63" s="2">
        <v>43</v>
      </c>
      <c r="D63" s="6">
        <v>43</v>
      </c>
      <c r="E63" s="2">
        <f t="shared" si="0"/>
        <v>43</v>
      </c>
      <c r="F63" s="2">
        <v>43</v>
      </c>
      <c r="G63" s="2">
        <v>5</v>
      </c>
      <c r="H63" s="2">
        <v>8</v>
      </c>
      <c r="I63" s="2">
        <f t="shared" si="1"/>
        <v>344</v>
      </c>
      <c r="J63" s="2">
        <f t="shared" si="2"/>
        <v>215</v>
      </c>
      <c r="K63" s="2">
        <f t="shared" si="3"/>
        <v>129</v>
      </c>
    </row>
    <row r="64" spans="1:11" x14ac:dyDescent="0.25">
      <c r="A64" s="2" t="s">
        <v>87</v>
      </c>
      <c r="B64" s="2" t="s">
        <v>10</v>
      </c>
      <c r="C64" s="2">
        <v>76</v>
      </c>
      <c r="D64" s="6">
        <v>42</v>
      </c>
      <c r="E64" s="2">
        <f t="shared" si="0"/>
        <v>79</v>
      </c>
      <c r="F64" s="2">
        <v>39</v>
      </c>
      <c r="G64" s="2">
        <v>7</v>
      </c>
      <c r="H64" s="2">
        <v>15</v>
      </c>
      <c r="I64" s="2">
        <f t="shared" si="1"/>
        <v>585</v>
      </c>
      <c r="J64" s="2">
        <f t="shared" si="2"/>
        <v>273</v>
      </c>
      <c r="K64" s="2">
        <f t="shared" si="3"/>
        <v>312</v>
      </c>
    </row>
    <row r="65" spans="1:11" x14ac:dyDescent="0.25">
      <c r="A65" s="2" t="s">
        <v>89</v>
      </c>
      <c r="B65" s="2" t="s">
        <v>10</v>
      </c>
      <c r="C65" s="2">
        <v>68</v>
      </c>
      <c r="D65" s="6">
        <v>27</v>
      </c>
      <c r="E65" s="2">
        <f t="shared" si="0"/>
        <v>48</v>
      </c>
      <c r="F65" s="2">
        <v>47</v>
      </c>
      <c r="G65" s="2">
        <v>2</v>
      </c>
      <c r="H65" s="2">
        <v>5</v>
      </c>
      <c r="I65" s="2">
        <f t="shared" si="1"/>
        <v>235</v>
      </c>
      <c r="J65" s="2">
        <f t="shared" si="2"/>
        <v>94</v>
      </c>
      <c r="K65" s="2">
        <f t="shared" si="3"/>
        <v>141</v>
      </c>
    </row>
  </sheetData>
  <conditionalFormatting sqref="J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D94F-11DE-417C-886A-11ADAAA0D87A}">
  <dimension ref="A2:N63"/>
  <sheetViews>
    <sheetView topLeftCell="H12" workbookViewId="0">
      <selection activeCell="Q25" sqref="Q25"/>
    </sheetView>
  </sheetViews>
  <sheetFormatPr defaultRowHeight="15" x14ac:dyDescent="0.25"/>
  <cols>
    <col min="1" max="1" width="25.5703125" bestFit="1" customWidth="1"/>
    <col min="2" max="2" width="12.7109375" customWidth="1"/>
    <col min="3" max="3" width="15.28515625" customWidth="1"/>
    <col min="12" max="12" width="15.42578125" bestFit="1" customWidth="1"/>
    <col min="13" max="13" width="10" bestFit="1" customWidth="1"/>
    <col min="14" max="14" width="9.85546875" bestFit="1" customWidth="1"/>
  </cols>
  <sheetData>
    <row r="2" spans="1:14" x14ac:dyDescent="0.25">
      <c r="A2" s="17" t="s">
        <v>18</v>
      </c>
      <c r="B2" s="17" t="s">
        <v>4</v>
      </c>
      <c r="C2" s="17" t="s">
        <v>2</v>
      </c>
    </row>
    <row r="3" spans="1:14" x14ac:dyDescent="0.25">
      <c r="A3" s="2" t="str" cm="1">
        <f t="array" ref="A3:A20">_xlfn.UNIQUE(January!B2:B65)</f>
        <v>Spiral Notebook</v>
      </c>
      <c r="B3" s="2">
        <v>503</v>
      </c>
      <c r="C3" s="2">
        <v>595</v>
      </c>
    </row>
    <row r="4" spans="1:14" x14ac:dyDescent="0.25">
      <c r="A4" s="2" t="str">
        <v>Ruled Notebook</v>
      </c>
      <c r="B4" s="2">
        <v>705</v>
      </c>
      <c r="C4" s="2">
        <v>820</v>
      </c>
      <c r="L4" s="17" t="s">
        <v>18</v>
      </c>
      <c r="M4" s="17" t="s">
        <v>4</v>
      </c>
      <c r="N4" s="17" t="s">
        <v>2</v>
      </c>
    </row>
    <row r="5" spans="1:14" x14ac:dyDescent="0.25">
      <c r="A5" s="2" t="str">
        <v>Unruled Notebook</v>
      </c>
      <c r="B5" s="2">
        <v>249</v>
      </c>
      <c r="C5" s="2">
        <v>310</v>
      </c>
      <c r="L5" s="2" t="s">
        <v>38</v>
      </c>
      <c r="M5" s="2">
        <v>744</v>
      </c>
      <c r="N5" s="2">
        <v>802</v>
      </c>
    </row>
    <row r="6" spans="1:14" x14ac:dyDescent="0.25">
      <c r="A6" s="2" t="str">
        <v>Register</v>
      </c>
      <c r="B6" s="2">
        <v>413</v>
      </c>
      <c r="C6" s="2">
        <v>504</v>
      </c>
      <c r="L6" s="2" t="s">
        <v>40</v>
      </c>
      <c r="M6" s="2">
        <v>1313</v>
      </c>
      <c r="N6" s="2">
        <v>1408</v>
      </c>
    </row>
    <row r="7" spans="1:14" x14ac:dyDescent="0.25">
      <c r="A7" s="2" t="str">
        <v>Pencils</v>
      </c>
      <c r="B7" s="2">
        <v>744</v>
      </c>
      <c r="C7" s="2">
        <v>802</v>
      </c>
      <c r="L7" s="2" t="s">
        <v>19</v>
      </c>
      <c r="M7" s="2">
        <v>503</v>
      </c>
      <c r="N7" s="2">
        <v>595</v>
      </c>
    </row>
    <row r="8" spans="1:14" x14ac:dyDescent="0.25">
      <c r="A8" s="2" t="str">
        <v>Pens</v>
      </c>
      <c r="B8" s="2">
        <v>1313</v>
      </c>
      <c r="C8" s="2">
        <v>1408</v>
      </c>
      <c r="L8" s="2" t="s">
        <v>32</v>
      </c>
      <c r="M8" s="2">
        <v>705</v>
      </c>
      <c r="N8" s="2">
        <v>820</v>
      </c>
    </row>
    <row r="9" spans="1:14" x14ac:dyDescent="0.25">
      <c r="A9" s="2" t="str">
        <v>Geometry Box</v>
      </c>
      <c r="B9" s="2">
        <v>165</v>
      </c>
      <c r="C9" s="2">
        <v>163</v>
      </c>
      <c r="L9" s="2" t="s">
        <v>15</v>
      </c>
      <c r="M9" s="2">
        <v>211</v>
      </c>
      <c r="N9" s="2">
        <v>359</v>
      </c>
    </row>
    <row r="10" spans="1:14" x14ac:dyDescent="0.25">
      <c r="A10" s="2" t="str">
        <v>Chart Paper</v>
      </c>
      <c r="B10" s="2">
        <v>266</v>
      </c>
      <c r="C10" s="2">
        <v>292</v>
      </c>
      <c r="L10" s="2" t="s">
        <v>17</v>
      </c>
      <c r="M10" s="2">
        <v>415</v>
      </c>
      <c r="N10" s="2">
        <v>600</v>
      </c>
    </row>
    <row r="11" spans="1:14" x14ac:dyDescent="0.25">
      <c r="A11" s="2" t="str">
        <v>Adhesive</v>
      </c>
      <c r="B11" s="2">
        <v>509</v>
      </c>
      <c r="C11" s="2">
        <v>575</v>
      </c>
      <c r="L11" s="2" t="s">
        <v>81</v>
      </c>
      <c r="M11" s="2">
        <v>292</v>
      </c>
      <c r="N11" s="2">
        <v>390</v>
      </c>
    </row>
    <row r="12" spans="1:14" x14ac:dyDescent="0.25">
      <c r="A12" s="2" t="str">
        <v>Color Pencils</v>
      </c>
      <c r="B12" s="2">
        <v>416</v>
      </c>
      <c r="C12" s="2">
        <v>482</v>
      </c>
      <c r="L12" s="2" t="s">
        <v>11</v>
      </c>
      <c r="M12" s="2">
        <v>165</v>
      </c>
      <c r="N12" s="2">
        <v>163</v>
      </c>
    </row>
    <row r="13" spans="1:14" x14ac:dyDescent="0.25">
      <c r="A13" s="2" t="str">
        <v>Project File</v>
      </c>
      <c r="B13" s="2">
        <v>228</v>
      </c>
      <c r="C13" s="2">
        <v>255</v>
      </c>
      <c r="L13" s="2" t="s">
        <v>14</v>
      </c>
      <c r="M13" s="2">
        <v>208</v>
      </c>
      <c r="N13" s="2">
        <v>212</v>
      </c>
    </row>
    <row r="14" spans="1:14" x14ac:dyDescent="0.25">
      <c r="A14" s="2" t="str">
        <v>Stapler</v>
      </c>
      <c r="B14" s="2">
        <v>208</v>
      </c>
      <c r="C14" s="2">
        <v>212</v>
      </c>
    </row>
    <row r="15" spans="1:14" x14ac:dyDescent="0.25">
      <c r="A15" s="2" t="str">
        <v>Drawing Book</v>
      </c>
      <c r="B15" s="2">
        <v>211</v>
      </c>
      <c r="C15" s="2">
        <v>359</v>
      </c>
    </row>
    <row r="16" spans="1:14" x14ac:dyDescent="0.25">
      <c r="A16" s="2" t="str">
        <v>Adhesive Tape</v>
      </c>
      <c r="B16" s="2">
        <v>292</v>
      </c>
      <c r="C16" s="2">
        <v>390</v>
      </c>
    </row>
    <row r="17" spans="1:8" x14ac:dyDescent="0.25">
      <c r="A17" s="2" t="str">
        <v>Markers</v>
      </c>
      <c r="B17" s="2">
        <v>415</v>
      </c>
      <c r="C17" s="2">
        <v>600</v>
      </c>
    </row>
    <row r="18" spans="1:8" x14ac:dyDescent="0.25">
      <c r="A18" s="2" t="str">
        <v>Water Colors and Oil paints</v>
      </c>
      <c r="B18" s="2">
        <v>421</v>
      </c>
      <c r="C18" s="2">
        <v>592</v>
      </c>
    </row>
    <row r="19" spans="1:8" x14ac:dyDescent="0.25">
      <c r="A19" s="2" t="str">
        <v>Notebook Cover</v>
      </c>
      <c r="B19" s="2">
        <v>326</v>
      </c>
      <c r="C19" s="2">
        <v>458</v>
      </c>
    </row>
    <row r="20" spans="1:8" x14ac:dyDescent="0.25">
      <c r="A20" s="2" t="str">
        <v>A4 Sheets</v>
      </c>
      <c r="B20" s="2">
        <v>444</v>
      </c>
      <c r="C20" s="2">
        <v>488</v>
      </c>
    </row>
    <row r="23" spans="1:8" x14ac:dyDescent="0.25">
      <c r="A23" t="s">
        <v>146</v>
      </c>
    </row>
    <row r="24" spans="1:8" x14ac:dyDescent="0.25">
      <c r="A24" s="17" t="s">
        <v>18</v>
      </c>
      <c r="B24" s="17" t="s">
        <v>123</v>
      </c>
      <c r="C24" s="17" t="s">
        <v>124</v>
      </c>
      <c r="D24" s="17" t="s">
        <v>94</v>
      </c>
      <c r="E24" s="17" t="s">
        <v>95</v>
      </c>
      <c r="F24" s="17" t="s">
        <v>96</v>
      </c>
      <c r="G24" s="17" t="s">
        <v>97</v>
      </c>
      <c r="H24" s="17" t="s">
        <v>112</v>
      </c>
    </row>
    <row r="25" spans="1:8" x14ac:dyDescent="0.25">
      <c r="A25" s="2" t="str" cm="1">
        <f t="array" ref="A25:A42">_xlfn.UNIQUE(January!B2:B65)</f>
        <v>Spiral Notebook</v>
      </c>
      <c r="B25" s="2">
        <f ca="1">SUMIF(January!B2:B65,'Units Sold vs Units Purchased'!A25,January!F2:F4)</f>
        <v>48</v>
      </c>
      <c r="C25" s="2">
        <f ca="1">SUMIF(February!B2:B65,'Units Sold vs Units Purchased'!A25,February!F2:F4)</f>
        <v>31</v>
      </c>
      <c r="D25" s="2">
        <f ca="1">SUMIF(March!B2:B65,'Units Sold vs Units Purchased'!A25,March!F2:F4)</f>
        <v>58</v>
      </c>
      <c r="E25" s="2">
        <f ca="1">SUMIF(April!B2:B65,'Units Sold vs Units Purchased'!A25,April!F2:F4)</f>
        <v>131</v>
      </c>
      <c r="F25" s="2">
        <f ca="1">SUMIF(May!B2:B65,'Units Sold vs Units Purchased'!A25,May!F2:F4)</f>
        <v>72</v>
      </c>
      <c r="G25" s="2">
        <f ca="1">SUMIF(June!B2:B65,'Units Sold vs Units Purchased'!A25,June!F2:F4)</f>
        <v>163</v>
      </c>
      <c r="H25" s="2">
        <f ca="1">G25+F25+E25+D25+C25+B25</f>
        <v>503</v>
      </c>
    </row>
    <row r="26" spans="1:8" x14ac:dyDescent="0.25">
      <c r="A26" s="2" t="str">
        <v>Ruled Notebook</v>
      </c>
      <c r="B26" s="2">
        <f ca="1">SUMIF(January!B3:B66,'Units Sold vs Units Purchased'!A26,January!F3:F5)</f>
        <v>63</v>
      </c>
      <c r="C26" s="2">
        <f ca="1">SUMIF(February!B3:B66,'Units Sold vs Units Purchased'!A26,February!F3:F5)</f>
        <v>47</v>
      </c>
      <c r="D26" s="2">
        <f ca="1">SUMIF(March!B3:B66,'Units Sold vs Units Purchased'!A26,March!F3:F5)</f>
        <v>78</v>
      </c>
      <c r="E26" s="2">
        <f ca="1">SUMIF(April!B3:B66,'Units Sold vs Units Purchased'!A26,April!F3:F5)</f>
        <v>189</v>
      </c>
      <c r="F26" s="2">
        <f ca="1">SUMIF(May!B3:B66,'Units Sold vs Units Purchased'!A26,May!F3:F5)</f>
        <v>97</v>
      </c>
      <c r="G26" s="2">
        <f ca="1">SUMIF(June!B3:B66,'Units Sold vs Units Purchased'!A26,June!F3:F5)</f>
        <v>231</v>
      </c>
      <c r="H26" s="2">
        <f t="shared" ref="H26:H42" ca="1" si="0">G26+F26+E26+D26+C26+B26</f>
        <v>705</v>
      </c>
    </row>
    <row r="27" spans="1:8" x14ac:dyDescent="0.25">
      <c r="A27" s="2" t="str">
        <v>Unruled Notebook</v>
      </c>
      <c r="B27" s="2">
        <f ca="1">SUMIF(January!B4:B67,'Units Sold vs Units Purchased'!A27,January!F4:F6)</f>
        <v>26</v>
      </c>
      <c r="C27" s="2">
        <f ca="1">SUMIF(February!B4:B67,'Units Sold vs Units Purchased'!A27,February!F4:F6)</f>
        <v>13</v>
      </c>
      <c r="D27" s="2">
        <f ca="1">SUMIF(March!B4:B67,'Units Sold vs Units Purchased'!A27,March!F4:F6)</f>
        <v>23</v>
      </c>
      <c r="E27" s="2">
        <f ca="1">SUMIF(April!B4:B67,'Units Sold vs Units Purchased'!A27,April!F4:F6)</f>
        <v>65</v>
      </c>
      <c r="F27" s="2">
        <f ca="1">SUMIF(May!B4:B67,'Units Sold vs Units Purchased'!A27,May!F4:F6)</f>
        <v>36</v>
      </c>
      <c r="G27" s="2">
        <f ca="1">SUMIF(June!B4:B67,'Units Sold vs Units Purchased'!A27,June!F4:F6)</f>
        <v>86</v>
      </c>
      <c r="H27" s="2">
        <f t="shared" ca="1" si="0"/>
        <v>249</v>
      </c>
    </row>
    <row r="28" spans="1:8" x14ac:dyDescent="0.25">
      <c r="A28" s="2" t="str">
        <v>Register</v>
      </c>
      <c r="B28" s="2">
        <f ca="1">SUMIF(January!B5:B68,'Units Sold vs Units Purchased'!A28,January!F5:F7)</f>
        <v>31</v>
      </c>
      <c r="C28" s="2">
        <f ca="1">SUMIF(February!B5:B68,'Units Sold vs Units Purchased'!A28,February!F5:F7)</f>
        <v>23</v>
      </c>
      <c r="D28" s="2">
        <f ca="1">SUMIF(March!B5:B68,'Units Sold vs Units Purchased'!A28,March!F5:F7)</f>
        <v>46</v>
      </c>
      <c r="E28" s="2">
        <f ca="1">SUMIF(April!B5:B68,'Units Sold vs Units Purchased'!A28,April!F5:F7)</f>
        <v>103</v>
      </c>
      <c r="F28" s="2">
        <f ca="1">SUMIF(May!B5:B68,'Units Sold vs Units Purchased'!A28,May!F5:F7)</f>
        <v>56</v>
      </c>
      <c r="G28" s="2">
        <f ca="1">SUMIF(June!B5:B68,'Units Sold vs Units Purchased'!A28,June!F5:F7)</f>
        <v>154</v>
      </c>
      <c r="H28" s="2">
        <f t="shared" ca="1" si="0"/>
        <v>413</v>
      </c>
    </row>
    <row r="29" spans="1:8" x14ac:dyDescent="0.25">
      <c r="A29" s="2" t="str">
        <v>Pencils</v>
      </c>
      <c r="B29" s="2">
        <f ca="1">SUMIF(January!B6:B69,'Units Sold vs Units Purchased'!A29,January!F6:F8)</f>
        <v>121</v>
      </c>
      <c r="C29" s="2">
        <f ca="1">SUMIF(February!B6:B69,'Units Sold vs Units Purchased'!A29,February!F6:F8)</f>
        <v>84</v>
      </c>
      <c r="D29" s="2">
        <f ca="1">SUMIF(March!B6:B69,'Units Sold vs Units Purchased'!A29,March!F6:F8)</f>
        <v>106</v>
      </c>
      <c r="E29" s="2">
        <f ca="1">SUMIF(April!B6:B69,'Units Sold vs Units Purchased'!A29,April!F6:F8)</f>
        <v>154</v>
      </c>
      <c r="F29" s="2">
        <f ca="1">SUMIF(May!B6:B69,'Units Sold vs Units Purchased'!A29,May!F6:F8)</f>
        <v>103</v>
      </c>
      <c r="G29" s="2">
        <f ca="1">SUMIF(June!B6:B69,'Units Sold vs Units Purchased'!A29,June!F6:F8)</f>
        <v>176</v>
      </c>
      <c r="H29" s="2">
        <f t="shared" ca="1" si="0"/>
        <v>744</v>
      </c>
    </row>
    <row r="30" spans="1:8" x14ac:dyDescent="0.25">
      <c r="A30" s="2" t="str">
        <v>Pens</v>
      </c>
      <c r="B30" s="2">
        <f ca="1">SUMIF(January!B7:B70,'Units Sold vs Units Purchased'!A30,January!F7:F9)</f>
        <v>215</v>
      </c>
      <c r="C30" s="2">
        <f ca="1">SUMIF(February!B7:B70,'Units Sold vs Units Purchased'!A30,February!F7:F9)</f>
        <v>168</v>
      </c>
      <c r="D30" s="2">
        <f ca="1">SUMIF(March!B7:B70,'Units Sold vs Units Purchased'!A30,March!F7:F9)</f>
        <v>168</v>
      </c>
      <c r="E30" s="2">
        <f ca="1">SUMIF(April!B7:B70,'Units Sold vs Units Purchased'!A30,April!F7:F9)</f>
        <v>250</v>
      </c>
      <c r="F30" s="2">
        <f ca="1">SUMIF(May!B7:B70,'Units Sold vs Units Purchased'!A30,May!F7:F9)</f>
        <v>208</v>
      </c>
      <c r="G30" s="2">
        <f ca="1">SUMIF(June!B7:B70,'Units Sold vs Units Purchased'!A30,June!F7:F9)</f>
        <v>304</v>
      </c>
      <c r="H30" s="2">
        <f t="shared" ca="1" si="0"/>
        <v>1313</v>
      </c>
    </row>
    <row r="31" spans="1:8" x14ac:dyDescent="0.25">
      <c r="A31" s="2" t="str">
        <v>Geometry Box</v>
      </c>
      <c r="B31" s="2">
        <f ca="1">SUMIF(January!B8:B71,'Units Sold vs Units Purchased'!A31,January!F8:F10)</f>
        <v>16</v>
      </c>
      <c r="C31" s="2">
        <f ca="1">SUMIF(February!B8:B71,'Units Sold vs Units Purchased'!A31,February!F8:F10)</f>
        <v>8</v>
      </c>
      <c r="D31" s="2">
        <f ca="1">SUMIF(March!B8:B71,'Units Sold vs Units Purchased'!A31,March!F8:F10)</f>
        <v>19</v>
      </c>
      <c r="E31" s="2">
        <f ca="1">SUMIF(April!B8:B71,'Units Sold vs Units Purchased'!A31,April!F8:F10)</f>
        <v>42</v>
      </c>
      <c r="F31" s="2">
        <f ca="1">SUMIF(May!B8:B71,'Units Sold vs Units Purchased'!A31,May!F8:F10)</f>
        <v>32</v>
      </c>
      <c r="G31" s="2">
        <f ca="1">SUMIF(June!B8:B71,'Units Sold vs Units Purchased'!A31,June!F8:F10)</f>
        <v>48</v>
      </c>
      <c r="H31" s="2">
        <f t="shared" ca="1" si="0"/>
        <v>165</v>
      </c>
    </row>
    <row r="32" spans="1:8" x14ac:dyDescent="0.25">
      <c r="A32" s="2" t="str">
        <v>Chart Paper</v>
      </c>
      <c r="B32" s="2">
        <f ca="1">SUMIF(January!B9:B72,'Units Sold vs Units Purchased'!A32,January!F9:F11)</f>
        <v>24</v>
      </c>
      <c r="C32" s="2">
        <f ca="1">SUMIF(February!B9:B72,'Units Sold vs Units Purchased'!A32,February!F9:F11)</f>
        <v>23</v>
      </c>
      <c r="D32" s="2">
        <f ca="1">SUMIF(March!B9:B72,'Units Sold vs Units Purchased'!A32,March!F9:F11)</f>
        <v>29</v>
      </c>
      <c r="E32" s="2">
        <f ca="1">SUMIF(April!B9:B72,'Units Sold vs Units Purchased'!A32,April!F9:F11)</f>
        <v>41</v>
      </c>
      <c r="F32" s="2">
        <f ca="1">SUMIF(May!B9:B72,'Units Sold vs Units Purchased'!A32,May!F9:F11)</f>
        <v>58</v>
      </c>
      <c r="G32" s="2">
        <f ca="1">SUMIF(June!B9:B72,'Units Sold vs Units Purchased'!A32,June!F9:F11)</f>
        <v>91</v>
      </c>
      <c r="H32" s="2">
        <f t="shared" ca="1" si="0"/>
        <v>266</v>
      </c>
    </row>
    <row r="33" spans="1:8" x14ac:dyDescent="0.25">
      <c r="A33" s="2" t="str">
        <v>Adhesive</v>
      </c>
      <c r="B33" s="2">
        <f ca="1">SUMIF(January!B10:B73,'Units Sold vs Units Purchased'!A33,January!F10:F12)</f>
        <v>80</v>
      </c>
      <c r="C33" s="2">
        <f ca="1">SUMIF(February!B10:B73,'Units Sold vs Units Purchased'!A33,February!F10:F12)</f>
        <v>61</v>
      </c>
      <c r="D33" s="2">
        <f ca="1">SUMIF(March!B10:B73,'Units Sold vs Units Purchased'!A33,March!F10:F12)</f>
        <v>66</v>
      </c>
      <c r="E33" s="2">
        <f ca="1">SUMIF(April!B10:B73,'Units Sold vs Units Purchased'!A33,April!F10:F12)</f>
        <v>93</v>
      </c>
      <c r="F33" s="2">
        <f ca="1">SUMIF(May!B10:B73,'Units Sold vs Units Purchased'!A33,May!F10:F12)</f>
        <v>87</v>
      </c>
      <c r="G33" s="2">
        <f ca="1">SUMIF(June!B10:B73,'Units Sold vs Units Purchased'!A33,June!F10:F12)</f>
        <v>122</v>
      </c>
      <c r="H33" s="2">
        <f t="shared" ca="1" si="0"/>
        <v>509</v>
      </c>
    </row>
    <row r="34" spans="1:8" x14ac:dyDescent="0.25">
      <c r="A34" s="2" t="str">
        <v>Color Pencils</v>
      </c>
      <c r="B34" s="2">
        <f ca="1">SUMIF(January!B11:B74,'Units Sold vs Units Purchased'!A34,January!F11:F13)</f>
        <v>50</v>
      </c>
      <c r="C34" s="2">
        <f ca="1">SUMIF(February!B11:B74,'Units Sold vs Units Purchased'!A34,February!F11:F13)</f>
        <v>35</v>
      </c>
      <c r="D34" s="2">
        <f ca="1">SUMIF(March!B11:B74,'Units Sold vs Units Purchased'!A34,March!F11:F13)</f>
        <v>58</v>
      </c>
      <c r="E34" s="2">
        <f ca="1">SUMIF(April!B11:B74,'Units Sold vs Units Purchased'!A34,April!F11:F13)</f>
        <v>89</v>
      </c>
      <c r="F34" s="2">
        <f ca="1">SUMIF(May!B11:B74,'Units Sold vs Units Purchased'!A34,May!F11:F13)</f>
        <v>82</v>
      </c>
      <c r="G34" s="2">
        <f ca="1">SUMIF(June!B11:B74,'Units Sold vs Units Purchased'!A34,June!F11:F13)</f>
        <v>102</v>
      </c>
      <c r="H34" s="2">
        <f t="shared" ca="1" si="0"/>
        <v>416</v>
      </c>
    </row>
    <row r="35" spans="1:8" x14ac:dyDescent="0.25">
      <c r="A35" s="2" t="str">
        <v>Project File</v>
      </c>
      <c r="B35" s="2">
        <f ca="1">SUMIF(January!B12:B75,'Units Sold vs Units Purchased'!A35,January!F12:F14)</f>
        <v>30</v>
      </c>
      <c r="C35" s="2">
        <f ca="1">SUMIF(February!B12:B75,'Units Sold vs Units Purchased'!A35,February!F12:F14)</f>
        <v>22</v>
      </c>
      <c r="D35" s="2">
        <f ca="1">SUMIF(March!B12:B75,'Units Sold vs Units Purchased'!A35,March!F12:F14)</f>
        <v>26</v>
      </c>
      <c r="E35" s="2">
        <f ca="1">SUMIF(April!B12:B75,'Units Sold vs Units Purchased'!A35,April!F12:F14)</f>
        <v>42</v>
      </c>
      <c r="F35" s="2">
        <f ca="1">SUMIF(May!B12:B75,'Units Sold vs Units Purchased'!A35,May!F12:F14)</f>
        <v>57</v>
      </c>
      <c r="G35" s="2">
        <f ca="1">SUMIF(June!B12:B75,'Units Sold vs Units Purchased'!A35,June!F12:F14)</f>
        <v>51</v>
      </c>
      <c r="H35" s="2">
        <f t="shared" ca="1" si="0"/>
        <v>228</v>
      </c>
    </row>
    <row r="36" spans="1:8" x14ac:dyDescent="0.25">
      <c r="A36" s="2" t="str">
        <v>Stapler</v>
      </c>
      <c r="B36" s="2">
        <f ca="1">SUMIF(January!B13:B76,'Units Sold vs Units Purchased'!A36,January!F13:F15)</f>
        <v>30</v>
      </c>
      <c r="C36" s="2">
        <f ca="1">SUMIF(February!B13:B76,'Units Sold vs Units Purchased'!A36,February!F13:F15)</f>
        <v>19</v>
      </c>
      <c r="D36" s="2">
        <f ca="1">SUMIF(March!B13:B76,'Units Sold vs Units Purchased'!A36,March!F13:F15)</f>
        <v>29</v>
      </c>
      <c r="E36" s="2">
        <f ca="1">SUMIF(April!B13:B76,'Units Sold vs Units Purchased'!A36,April!F13:F15)</f>
        <v>35</v>
      </c>
      <c r="F36" s="2">
        <f ca="1">SUMIF(May!B13:B76,'Units Sold vs Units Purchased'!A36,May!F13:F15)</f>
        <v>36</v>
      </c>
      <c r="G36" s="2">
        <f ca="1">SUMIF(June!B13:B76,'Units Sold vs Units Purchased'!A36,June!F13:F15)</f>
        <v>59</v>
      </c>
      <c r="H36" s="2">
        <f t="shared" ca="1" si="0"/>
        <v>208</v>
      </c>
    </row>
    <row r="37" spans="1:8" x14ac:dyDescent="0.25">
      <c r="A37" s="2" t="str">
        <v>Drawing Book</v>
      </c>
      <c r="B37" s="2">
        <f ca="1">SUMIF(January!B14:B77,'Units Sold vs Units Purchased'!A37,January!F14:F16)</f>
        <v>26</v>
      </c>
      <c r="C37" s="2">
        <f ca="1">SUMIF(February!B14:B77,'Units Sold vs Units Purchased'!A37,February!F14:F16)</f>
        <v>15</v>
      </c>
      <c r="D37" s="2">
        <f ca="1">SUMIF(March!B14:B77,'Units Sold vs Units Purchased'!A37,March!F14:F16)</f>
        <v>28</v>
      </c>
      <c r="E37" s="2">
        <f ca="1">SUMIF(April!B14:B77,'Units Sold vs Units Purchased'!A37,April!F14:F16)</f>
        <v>47</v>
      </c>
      <c r="F37" s="2">
        <f ca="1">SUMIF(May!B14:B77,'Units Sold vs Units Purchased'!A37,May!F14:F16)</f>
        <v>36</v>
      </c>
      <c r="G37" s="2">
        <f ca="1">SUMIF(June!B14:B77,'Units Sold vs Units Purchased'!A37,June!F14:F16)</f>
        <v>59</v>
      </c>
      <c r="H37" s="2">
        <f t="shared" ca="1" si="0"/>
        <v>211</v>
      </c>
    </row>
    <row r="38" spans="1:8" x14ac:dyDescent="0.25">
      <c r="A38" s="2" t="str">
        <v>Adhesive Tape</v>
      </c>
      <c r="B38" s="2">
        <f ca="1">SUMIF(January!B15:B78,'Units Sold vs Units Purchased'!A38,January!F15:F17)</f>
        <v>34</v>
      </c>
      <c r="C38" s="2">
        <f ca="1">SUMIF(February!B15:B78,'Units Sold vs Units Purchased'!A38,February!F15:F17)</f>
        <v>27</v>
      </c>
      <c r="D38" s="2">
        <f ca="1">SUMIF(March!B15:B78,'Units Sold vs Units Purchased'!A38,March!F15:F17)</f>
        <v>33</v>
      </c>
      <c r="E38" s="2">
        <f ca="1">SUMIF(April!B15:B78,'Units Sold vs Units Purchased'!A38,April!F15:F17)</f>
        <v>55</v>
      </c>
      <c r="F38" s="2">
        <f ca="1">SUMIF(May!B15:B78,'Units Sold vs Units Purchased'!A38,May!F15:F17)</f>
        <v>57</v>
      </c>
      <c r="G38" s="2">
        <f ca="1">SUMIF(June!B15:B78,'Units Sold vs Units Purchased'!A38,June!F15:F17)</f>
        <v>86</v>
      </c>
      <c r="H38" s="2">
        <f t="shared" ca="1" si="0"/>
        <v>292</v>
      </c>
    </row>
    <row r="39" spans="1:8" x14ac:dyDescent="0.25">
      <c r="A39" s="2" t="str">
        <v>Markers</v>
      </c>
      <c r="B39" s="2">
        <f ca="1">SUMIF(January!B16:B79,'Units Sold vs Units Purchased'!A39,January!F16:F18)</f>
        <v>59</v>
      </c>
      <c r="C39" s="2">
        <f ca="1">SUMIF(February!B16:B79,'Units Sold vs Units Purchased'!A39,February!F16:F18)</f>
        <v>42</v>
      </c>
      <c r="D39" s="2">
        <f ca="1">SUMIF(March!B16:B79,'Units Sold vs Units Purchased'!A39,March!F16:F18)</f>
        <v>52</v>
      </c>
      <c r="E39" s="2">
        <f ca="1">SUMIF(April!B16:B79,'Units Sold vs Units Purchased'!A39,April!F16:F18)</f>
        <v>88</v>
      </c>
      <c r="F39" s="2">
        <f ca="1">SUMIF(May!B16:B79,'Units Sold vs Units Purchased'!A39,May!F16:F18)</f>
        <v>72</v>
      </c>
      <c r="G39" s="2">
        <f ca="1">SUMIF(June!B16:B79,'Units Sold vs Units Purchased'!A39,June!F16:F18)</f>
        <v>102</v>
      </c>
      <c r="H39" s="2">
        <f t="shared" ca="1" si="0"/>
        <v>415</v>
      </c>
    </row>
    <row r="40" spans="1:8" x14ac:dyDescent="0.25">
      <c r="A40" s="2" t="str">
        <v>Water Colors and Oil paints</v>
      </c>
      <c r="B40" s="2">
        <f ca="1">SUMIF(January!B17:B80,'Units Sold vs Units Purchased'!A40,January!F17:F19)</f>
        <v>52</v>
      </c>
      <c r="C40" s="2">
        <f ca="1">SUMIF(February!B17:B80,'Units Sold vs Units Purchased'!A40,February!F17:F19)</f>
        <v>27</v>
      </c>
      <c r="D40" s="2">
        <f ca="1">SUMIF(March!B17:B80,'Units Sold vs Units Purchased'!A40,March!F17:F19)</f>
        <v>52</v>
      </c>
      <c r="E40" s="2">
        <f ca="1">SUMIF(April!B17:B80,'Units Sold vs Units Purchased'!A40,April!F17:F19)</f>
        <v>90</v>
      </c>
      <c r="F40" s="2">
        <f ca="1">SUMIF(May!B17:B80,'Units Sold vs Units Purchased'!A40,May!F17:F19)</f>
        <v>68</v>
      </c>
      <c r="G40" s="2">
        <f ca="1">SUMIF(June!B17:B80,'Units Sold vs Units Purchased'!A40,June!F17:F19)</f>
        <v>132</v>
      </c>
      <c r="H40" s="2">
        <f t="shared" ca="1" si="0"/>
        <v>421</v>
      </c>
    </row>
    <row r="41" spans="1:8" x14ac:dyDescent="0.25">
      <c r="A41" s="2" t="str">
        <v>Notebook Cover</v>
      </c>
      <c r="B41" s="2">
        <f ca="1">SUMIF(January!B18:B81,'Units Sold vs Units Purchased'!A41,January!F18:F20)</f>
        <v>39</v>
      </c>
      <c r="C41" s="2">
        <f ca="1">SUMIF(February!B18:B81,'Units Sold vs Units Purchased'!A41,February!F18:F20)</f>
        <v>22</v>
      </c>
      <c r="D41" s="2">
        <f ca="1">SUMIF(March!B18:B81,'Units Sold vs Units Purchased'!A41,March!F18:F20)</f>
        <v>46</v>
      </c>
      <c r="E41" s="2">
        <f ca="1">SUMIF(April!B18:B81,'Units Sold vs Units Purchased'!A41,April!F18:F20)</f>
        <v>65</v>
      </c>
      <c r="F41" s="2">
        <f ca="1">SUMIF(May!B18:B81,'Units Sold vs Units Purchased'!A41,May!F18:F20)</f>
        <v>48</v>
      </c>
      <c r="G41" s="2">
        <f ca="1">SUMIF(June!B18:B81,'Units Sold vs Units Purchased'!A41,June!F18:F20)</f>
        <v>106</v>
      </c>
      <c r="H41" s="2">
        <f t="shared" ca="1" si="0"/>
        <v>326</v>
      </c>
    </row>
    <row r="42" spans="1:8" x14ac:dyDescent="0.25">
      <c r="A42" s="2" t="str">
        <v>A4 Sheets</v>
      </c>
      <c r="B42" s="2">
        <f ca="1">SUMIF(January!B19:B82,'Units Sold vs Units Purchased'!A42,January!F19:F21)</f>
        <v>54</v>
      </c>
      <c r="C42" s="2">
        <f ca="1">SUMIF(February!B19:B82,'Units Sold vs Units Purchased'!A42,February!F19:F21)</f>
        <v>41</v>
      </c>
      <c r="D42" s="2">
        <f ca="1">SUMIF(March!B19:B82,'Units Sold vs Units Purchased'!A42,March!F19:F21)</f>
        <v>55</v>
      </c>
      <c r="E42" s="2">
        <f ca="1">SUMIF(April!B19:B82,'Units Sold vs Units Purchased'!A42,April!F19:F21)</f>
        <v>72</v>
      </c>
      <c r="F42" s="2">
        <f ca="1">SUMIF(May!B19:B82,'Units Sold vs Units Purchased'!A42,May!F19:F21)</f>
        <v>93</v>
      </c>
      <c r="G42" s="2">
        <f ca="1">SUMIF(June!B19:B82,'Units Sold vs Units Purchased'!A42,June!F19:F21)</f>
        <v>129</v>
      </c>
      <c r="H42" s="2">
        <f t="shared" ca="1" si="0"/>
        <v>444</v>
      </c>
    </row>
    <row r="44" spans="1:8" x14ac:dyDescent="0.25">
      <c r="A44" t="s">
        <v>147</v>
      </c>
    </row>
    <row r="45" spans="1:8" x14ac:dyDescent="0.25">
      <c r="A45" s="17" t="s">
        <v>18</v>
      </c>
      <c r="B45" s="17" t="s">
        <v>123</v>
      </c>
      <c r="C45" s="17" t="s">
        <v>124</v>
      </c>
      <c r="D45" s="17" t="s">
        <v>94</v>
      </c>
      <c r="E45" s="17" t="s">
        <v>95</v>
      </c>
      <c r="F45" s="17" t="s">
        <v>96</v>
      </c>
      <c r="G45" s="17" t="s">
        <v>97</v>
      </c>
      <c r="H45" s="17" t="s">
        <v>112</v>
      </c>
    </row>
    <row r="46" spans="1:8" x14ac:dyDescent="0.25">
      <c r="A46" s="2" t="str" cm="1">
        <f t="array" ref="A46:A63">_xlfn.UNIQUE(January!B2:B65)</f>
        <v>Spiral Notebook</v>
      </c>
      <c r="B46" s="2">
        <f ca="1">SUMIF(January!B2:B65,'Units Sold vs Units Purchased'!A46,January!D2:D4)</f>
        <v>54</v>
      </c>
      <c r="C46" s="2">
        <f ca="1">SUMIF(February!B2:B65,'Units Sold vs Units Purchased'!A46,February!D2:D4)</f>
        <v>34</v>
      </c>
      <c r="D46" s="2">
        <f ca="1">SUMIF(March!B2:B65,'Units Sold vs Units Purchased'!A46,March!D2:D4)</f>
        <v>65</v>
      </c>
      <c r="E46" s="2">
        <f ca="1">SUMIF(April!B2:B65,'Units Sold vs Units Purchased'!A46,April!D2:D4)</f>
        <v>140</v>
      </c>
      <c r="F46" s="2">
        <f ca="1">SUMIF(May!B2:B65,'Units Sold vs Units Purchased'!A46,May!D2:D4)</f>
        <v>113</v>
      </c>
      <c r="G46" s="2">
        <f ca="1">SUMIF(June!B2:B65,'Units Sold vs Units Purchased'!A46,June!D2:D4)</f>
        <v>189</v>
      </c>
      <c r="H46" s="2">
        <f ca="1">G46+F46+E46+D46+C46+B46</f>
        <v>595</v>
      </c>
    </row>
    <row r="47" spans="1:8" x14ac:dyDescent="0.25">
      <c r="A47" s="2" t="str">
        <v>Ruled Notebook</v>
      </c>
      <c r="B47" s="2">
        <f ca="1">SUMIF(January!B3:B66,'Units Sold vs Units Purchased'!A47,January!D3:D5)</f>
        <v>76</v>
      </c>
      <c r="C47" s="2">
        <f ca="1">SUMIF(February!B3:B66,'Units Sold vs Units Purchased'!A47,February!D3:D5)</f>
        <v>59</v>
      </c>
      <c r="D47" s="2">
        <f ca="1">SUMIF(March!B3:B66,'Units Sold vs Units Purchased'!A47,March!D3:D5)</f>
        <v>102</v>
      </c>
      <c r="E47" s="2">
        <f ca="1">SUMIF(April!B3:B66,'Units Sold vs Units Purchased'!A47,April!D3:D5)</f>
        <v>192</v>
      </c>
      <c r="F47" s="2">
        <f ca="1">SUMIF(May!B3:B66,'Units Sold vs Units Purchased'!A47,May!D3:D5)</f>
        <v>149</v>
      </c>
      <c r="G47" s="2">
        <f ca="1">SUMIF(June!B3:B66,'Units Sold vs Units Purchased'!A47,June!D3:D5)</f>
        <v>242</v>
      </c>
      <c r="H47" s="2">
        <f t="shared" ref="H47:H63" ca="1" si="1">G47+F47+E47+D47+C47+B47</f>
        <v>820</v>
      </c>
    </row>
    <row r="48" spans="1:8" x14ac:dyDescent="0.25">
      <c r="A48" s="2" t="str">
        <v>Unruled Notebook</v>
      </c>
      <c r="B48" s="2">
        <f ca="1">SUMIF(January!B4:B67,'Units Sold vs Units Purchased'!A48,January!D4:D6)</f>
        <v>26</v>
      </c>
      <c r="C48" s="2">
        <f ca="1">SUMIF(February!B4:B67,'Units Sold vs Units Purchased'!A48,February!D4:D6)</f>
        <v>21</v>
      </c>
      <c r="D48" s="2">
        <f ca="1">SUMIF(March!B4:B67,'Units Sold vs Units Purchased'!A48,March!D4:D6)</f>
        <v>26</v>
      </c>
      <c r="E48" s="2">
        <f ca="1">SUMIF(April!B4:B67,'Units Sold vs Units Purchased'!A48,April!D4:D6)</f>
        <v>71</v>
      </c>
      <c r="F48" s="2">
        <f ca="1">SUMIF(May!B4:B67,'Units Sold vs Units Purchased'!A48,May!D4:D6)</f>
        <v>65</v>
      </c>
      <c r="G48" s="2">
        <f ca="1">SUMIF(June!B4:B67,'Units Sold vs Units Purchased'!A48,June!D4:D6)</f>
        <v>101</v>
      </c>
      <c r="H48" s="2">
        <f t="shared" ca="1" si="1"/>
        <v>310</v>
      </c>
    </row>
    <row r="49" spans="1:8" x14ac:dyDescent="0.25">
      <c r="A49" s="2" t="str">
        <v>Register</v>
      </c>
      <c r="B49" s="2">
        <f ca="1">SUMIF(January!B5:B68,'Units Sold vs Units Purchased'!A49,January!D5:D7)</f>
        <v>32</v>
      </c>
      <c r="C49" s="2">
        <f ca="1">SUMIF(February!B5:B68,'Units Sold vs Units Purchased'!A49,February!D5:D7)</f>
        <v>60</v>
      </c>
      <c r="D49" s="2">
        <f ca="1">SUMIF(March!B5:B68,'Units Sold vs Units Purchased'!A49,March!D5:D7)</f>
        <v>67</v>
      </c>
      <c r="E49" s="2">
        <f ca="1">SUMIF(April!B5:B68,'Units Sold vs Units Purchased'!A49,April!D5:D7)</f>
        <v>113</v>
      </c>
      <c r="F49" s="2">
        <f ca="1">SUMIF(May!B5:B68,'Units Sold vs Units Purchased'!A49,May!D5:D7)</f>
        <v>90</v>
      </c>
      <c r="G49" s="2">
        <f ca="1">SUMIF(June!B5:B68,'Units Sold vs Units Purchased'!A49,June!D5:D7)</f>
        <v>142</v>
      </c>
      <c r="H49" s="2">
        <f t="shared" ca="1" si="1"/>
        <v>504</v>
      </c>
    </row>
    <row r="50" spans="1:8" x14ac:dyDescent="0.25">
      <c r="A50" s="2" t="str">
        <v>Pencils</v>
      </c>
      <c r="B50" s="2">
        <f ca="1">SUMIF(January!B6:B69,'Units Sold vs Units Purchased'!A50,January!D6:D8)</f>
        <v>67</v>
      </c>
      <c r="C50" s="2">
        <f ca="1">SUMIF(February!B6:B69,'Units Sold vs Units Purchased'!A50,February!D6:D8)</f>
        <v>103</v>
      </c>
      <c r="D50" s="2">
        <f ca="1">SUMIF(March!B6:B69,'Units Sold vs Units Purchased'!A50,March!D6:D8)</f>
        <v>110</v>
      </c>
      <c r="E50" s="2">
        <f ca="1">SUMIF(April!B6:B69,'Units Sold vs Units Purchased'!A50,April!D6:D8)</f>
        <v>182</v>
      </c>
      <c r="F50" s="2">
        <f ca="1">SUMIF(May!B6:B69,'Units Sold vs Units Purchased'!A50,May!D6:D8)</f>
        <v>173</v>
      </c>
      <c r="G50" s="2">
        <f ca="1">SUMIF(June!B6:B69,'Units Sold vs Units Purchased'!A50,June!D6:D8)</f>
        <v>167</v>
      </c>
      <c r="H50" s="2">
        <f t="shared" ca="1" si="1"/>
        <v>802</v>
      </c>
    </row>
    <row r="51" spans="1:8" x14ac:dyDescent="0.25">
      <c r="A51" s="2" t="str">
        <v>Pens</v>
      </c>
      <c r="B51" s="2">
        <f ca="1">SUMIF(January!B7:B70,'Units Sold vs Units Purchased'!A51,January!D7:D9)</f>
        <v>166</v>
      </c>
      <c r="C51" s="2">
        <f ca="1">SUMIF(February!B7:B70,'Units Sold vs Units Purchased'!A51,February!D7:D9)</f>
        <v>167</v>
      </c>
      <c r="D51" s="2">
        <f ca="1">SUMIF(March!B7:B70,'Units Sold vs Units Purchased'!A51,March!D7:D9)</f>
        <v>184</v>
      </c>
      <c r="E51" s="2">
        <f ca="1">SUMIF(April!B7:B70,'Units Sold vs Units Purchased'!A51,April!D7:D9)</f>
        <v>259</v>
      </c>
      <c r="F51" s="2">
        <f ca="1">SUMIF(May!B7:B70,'Units Sold vs Units Purchased'!A51,May!D7:D9)</f>
        <v>320</v>
      </c>
      <c r="G51" s="2">
        <f ca="1">SUMIF(June!B7:B70,'Units Sold vs Units Purchased'!A51,June!D7:D9)</f>
        <v>312</v>
      </c>
      <c r="H51" s="2">
        <f t="shared" ca="1" si="1"/>
        <v>1408</v>
      </c>
    </row>
    <row r="52" spans="1:8" x14ac:dyDescent="0.25">
      <c r="A52" s="2" t="str">
        <v>Geometry Box</v>
      </c>
      <c r="B52" s="2">
        <f ca="1">SUMIF(January!B8:B71,'Units Sold vs Units Purchased'!A52,January!D8:D10)</f>
        <v>29</v>
      </c>
      <c r="C52" s="2">
        <f ca="1">SUMIF(February!B8:B71,'Units Sold vs Units Purchased'!A52,February!D8:D10)</f>
        <v>5</v>
      </c>
      <c r="D52" s="2">
        <f ca="1">SUMIF(March!B8:B71,'Units Sold vs Units Purchased'!A52,March!D8:D10)</f>
        <v>9</v>
      </c>
      <c r="E52" s="2">
        <f ca="1">SUMIF(April!B8:B71,'Units Sold vs Units Purchased'!A52,April!D8:D10)</f>
        <v>42</v>
      </c>
      <c r="F52" s="2">
        <f ca="1">SUMIF(May!B8:B71,'Units Sold vs Units Purchased'!A52,May!D8:D10)</f>
        <v>35</v>
      </c>
      <c r="G52" s="2">
        <f ca="1">SUMIF(June!B8:B71,'Units Sold vs Units Purchased'!A52,June!D8:D10)</f>
        <v>43</v>
      </c>
      <c r="H52" s="2">
        <f t="shared" ca="1" si="1"/>
        <v>163</v>
      </c>
    </row>
    <row r="53" spans="1:8" x14ac:dyDescent="0.25">
      <c r="A53" s="2" t="str">
        <v>Chart Paper</v>
      </c>
      <c r="B53" s="2">
        <f ca="1">SUMIF(January!B9:B72,'Units Sold vs Units Purchased'!A53,January!D9:D11)</f>
        <v>46</v>
      </c>
      <c r="C53" s="2">
        <f ca="1">SUMIF(February!B9:B72,'Units Sold vs Units Purchased'!A53,February!D9:D11)</f>
        <v>25</v>
      </c>
      <c r="D53" s="2">
        <f ca="1">SUMIF(March!B9:B72,'Units Sold vs Units Purchased'!A53,March!D9:D11)</f>
        <v>37</v>
      </c>
      <c r="E53" s="2">
        <f ca="1">SUMIF(April!B9:B72,'Units Sold vs Units Purchased'!A53,April!D9:D11)</f>
        <v>50</v>
      </c>
      <c r="F53" s="2">
        <f ca="1">SUMIF(May!B9:B72,'Units Sold vs Units Purchased'!A53,May!D9:D11)</f>
        <v>59</v>
      </c>
      <c r="G53" s="2">
        <f ca="1">SUMIF(June!B9:B72,'Units Sold vs Units Purchased'!A53,June!D9:D11)</f>
        <v>75</v>
      </c>
      <c r="H53" s="2">
        <f t="shared" ca="1" si="1"/>
        <v>292</v>
      </c>
    </row>
    <row r="54" spans="1:8" x14ac:dyDescent="0.25">
      <c r="A54" s="2" t="str">
        <v>Adhesive</v>
      </c>
      <c r="B54" s="2">
        <f ca="1">SUMIF(January!B10:B73,'Units Sold vs Units Purchased'!A54,January!D10:D12)</f>
        <v>89</v>
      </c>
      <c r="C54" s="2">
        <f ca="1">SUMIF(February!B10:B73,'Units Sold vs Units Purchased'!A54,February!D10:D12)</f>
        <v>37</v>
      </c>
      <c r="D54" s="2">
        <f ca="1">SUMIF(March!B10:B73,'Units Sold vs Units Purchased'!A54,March!D10:D12)</f>
        <v>80</v>
      </c>
      <c r="E54" s="2">
        <f ca="1">SUMIF(April!B10:B73,'Units Sold vs Units Purchased'!A54,April!D10:D12)</f>
        <v>104</v>
      </c>
      <c r="F54" s="2">
        <f ca="1">SUMIF(May!B10:B73,'Units Sold vs Units Purchased'!A54,May!D10:D12)</f>
        <v>122</v>
      </c>
      <c r="G54" s="2">
        <f ca="1">SUMIF(June!B10:B73,'Units Sold vs Units Purchased'!A54,June!D10:D12)</f>
        <v>143</v>
      </c>
      <c r="H54" s="2">
        <f t="shared" ca="1" si="1"/>
        <v>575</v>
      </c>
    </row>
    <row r="55" spans="1:8" x14ac:dyDescent="0.25">
      <c r="A55" s="2" t="str">
        <v>Color Pencils</v>
      </c>
      <c r="B55" s="2">
        <f ca="1">SUMIF(January!B11:B74,'Units Sold vs Units Purchased'!A55,January!D11:D13)</f>
        <v>43</v>
      </c>
      <c r="C55" s="2">
        <f ca="1">SUMIF(February!B11:B74,'Units Sold vs Units Purchased'!A55,February!D11:D13)</f>
        <v>35</v>
      </c>
      <c r="D55" s="2">
        <f ca="1">SUMIF(March!B11:B74,'Units Sold vs Units Purchased'!A55,March!D11:D13)</f>
        <v>71</v>
      </c>
      <c r="E55" s="2">
        <f ca="1">SUMIF(April!B11:B74,'Units Sold vs Units Purchased'!A55,April!D11:D13)</f>
        <v>100</v>
      </c>
      <c r="F55" s="2">
        <f ca="1">SUMIF(May!B11:B74,'Units Sold vs Units Purchased'!A55,May!D11:D13)</f>
        <v>123</v>
      </c>
      <c r="G55" s="2">
        <f ca="1">SUMIF(June!B11:B74,'Units Sold vs Units Purchased'!A55,June!D11:D13)</f>
        <v>110</v>
      </c>
      <c r="H55" s="2">
        <f t="shared" ca="1" si="1"/>
        <v>482</v>
      </c>
    </row>
    <row r="56" spans="1:8" x14ac:dyDescent="0.25">
      <c r="A56" s="2" t="str">
        <v>Project File</v>
      </c>
      <c r="B56" s="2">
        <f ca="1">SUMIF(January!B12:B75,'Units Sold vs Units Purchased'!A56,January!D12:D14)</f>
        <v>22</v>
      </c>
      <c r="C56" s="2">
        <f ca="1">SUMIF(February!B12:B75,'Units Sold vs Units Purchased'!A56,February!D12:D14)</f>
        <v>22</v>
      </c>
      <c r="D56" s="2">
        <f ca="1">SUMIF(March!B12:B75,'Units Sold vs Units Purchased'!A56,March!D12:D14)</f>
        <v>31</v>
      </c>
      <c r="E56" s="2">
        <f ca="1">SUMIF(April!B12:B75,'Units Sold vs Units Purchased'!A56,April!D12:D14)</f>
        <v>57</v>
      </c>
      <c r="F56" s="2">
        <f ca="1">SUMIF(May!B12:B75,'Units Sold vs Units Purchased'!A56,May!D12:D14)</f>
        <v>59</v>
      </c>
      <c r="G56" s="2">
        <f ca="1">SUMIF(June!B12:B75,'Units Sold vs Units Purchased'!A56,June!D12:D14)</f>
        <v>64</v>
      </c>
      <c r="H56" s="2">
        <f t="shared" ca="1" si="1"/>
        <v>255</v>
      </c>
    </row>
    <row r="57" spans="1:8" x14ac:dyDescent="0.25">
      <c r="A57" s="2" t="str">
        <v>Stapler</v>
      </c>
      <c r="B57" s="2">
        <f ca="1">SUMIF(January!B13:B76,'Units Sold vs Units Purchased'!A57,January!D13:D15)</f>
        <v>25</v>
      </c>
      <c r="C57" s="2">
        <f ca="1">SUMIF(February!B13:B76,'Units Sold vs Units Purchased'!A57,February!D13:D15)</f>
        <v>26</v>
      </c>
      <c r="D57" s="2">
        <f ca="1">SUMIF(March!B13:B76,'Units Sold vs Units Purchased'!A57,March!D13:D15)</f>
        <v>28</v>
      </c>
      <c r="E57" s="2">
        <f ca="1">SUMIF(April!B13:B76,'Units Sold vs Units Purchased'!A57,April!D13:D15)</f>
        <v>47</v>
      </c>
      <c r="F57" s="2">
        <f ca="1">SUMIF(May!B13:B76,'Units Sold vs Units Purchased'!A57,May!D13:D15)</f>
        <v>39</v>
      </c>
      <c r="G57" s="2">
        <f ca="1">SUMIF(June!B13:B76,'Units Sold vs Units Purchased'!A57,June!D13:D15)</f>
        <v>47</v>
      </c>
      <c r="H57" s="2">
        <f t="shared" ca="1" si="1"/>
        <v>212</v>
      </c>
    </row>
    <row r="58" spans="1:8" x14ac:dyDescent="0.25">
      <c r="A58" s="2" t="str">
        <v>Drawing Book</v>
      </c>
      <c r="B58" s="2">
        <f ca="1">SUMIF(January!B14:B77,'Units Sold vs Units Purchased'!A58,January!D14:D16)</f>
        <v>29</v>
      </c>
      <c r="C58" s="2">
        <f ca="1">SUMIF(February!B14:B77,'Units Sold vs Units Purchased'!A58,February!D14:D16)</f>
        <v>60</v>
      </c>
      <c r="D58" s="2">
        <f ca="1">SUMIF(March!B14:B77,'Units Sold vs Units Purchased'!A58,March!D14:D16)</f>
        <v>36</v>
      </c>
      <c r="E58" s="2">
        <f ca="1">SUMIF(April!B14:B77,'Units Sold vs Units Purchased'!A58,April!D14:D16)</f>
        <v>56</v>
      </c>
      <c r="F58" s="2">
        <f ca="1">SUMIF(May!B14:B77,'Units Sold vs Units Purchased'!A58,May!D14:D16)</f>
        <v>71</v>
      </c>
      <c r="G58" s="2">
        <f ca="1">SUMIF(June!B14:B77,'Units Sold vs Units Purchased'!A58,June!D14:D16)</f>
        <v>107</v>
      </c>
      <c r="H58" s="2">
        <f t="shared" ca="1" si="1"/>
        <v>359</v>
      </c>
    </row>
    <row r="59" spans="1:8" x14ac:dyDescent="0.25">
      <c r="A59" s="2" t="str">
        <v>Adhesive Tape</v>
      </c>
      <c r="B59" s="2">
        <f ca="1">SUMIF(January!B15:B78,'Units Sold vs Units Purchased'!A59,January!D15:D17)</f>
        <v>47</v>
      </c>
      <c r="C59" s="2">
        <f ca="1">SUMIF(February!B15:B78,'Units Sold vs Units Purchased'!A59,February!D15:D17)</f>
        <v>53</v>
      </c>
      <c r="D59" s="2">
        <f ca="1">SUMIF(March!B15:B78,'Units Sold vs Units Purchased'!A59,March!D15:D17)</f>
        <v>45</v>
      </c>
      <c r="E59" s="2">
        <f ca="1">SUMIF(April!B15:B78,'Units Sold vs Units Purchased'!A59,April!D15:D17)</f>
        <v>69</v>
      </c>
      <c r="F59" s="2">
        <f ca="1">SUMIF(May!B15:B78,'Units Sold vs Units Purchased'!A59,May!D15:D17)</f>
        <v>79</v>
      </c>
      <c r="G59" s="2">
        <f ca="1">SUMIF(June!B15:B78,'Units Sold vs Units Purchased'!A59,June!D15:D17)</f>
        <v>97</v>
      </c>
      <c r="H59" s="2">
        <f t="shared" ca="1" si="1"/>
        <v>390</v>
      </c>
    </row>
    <row r="60" spans="1:8" x14ac:dyDescent="0.25">
      <c r="A60" s="2" t="str">
        <v>Markers</v>
      </c>
      <c r="B60" s="2">
        <f ca="1">SUMIF(January!B16:B79,'Units Sold vs Units Purchased'!A60,January!D16:D18)</f>
        <v>67</v>
      </c>
      <c r="C60" s="2">
        <f ca="1">SUMIF(February!B16:B79,'Units Sold vs Units Purchased'!A60,February!D16:D18)</f>
        <v>64</v>
      </c>
      <c r="D60" s="2">
        <f ca="1">SUMIF(March!B16:B79,'Units Sold vs Units Purchased'!A60,March!D16:D18)</f>
        <v>77</v>
      </c>
      <c r="E60" s="2">
        <f ca="1">SUMIF(April!B16:B79,'Units Sold vs Units Purchased'!A60,April!D16:D18)</f>
        <v>109</v>
      </c>
      <c r="F60" s="2">
        <f ca="1">SUMIF(May!B16:B79,'Units Sold vs Units Purchased'!A60,May!D16:D18)</f>
        <v>140</v>
      </c>
      <c r="G60" s="2">
        <f ca="1">SUMIF(June!B16:B79,'Units Sold vs Units Purchased'!A60,June!D16:D18)</f>
        <v>143</v>
      </c>
      <c r="H60" s="2">
        <f t="shared" ca="1" si="1"/>
        <v>600</v>
      </c>
    </row>
    <row r="61" spans="1:8" x14ac:dyDescent="0.25">
      <c r="A61" s="2" t="str">
        <v>Water Colors and Oil paints</v>
      </c>
      <c r="B61" s="2">
        <f ca="1">SUMIF(January!B17:B80,'Units Sold vs Units Purchased'!A61,January!D17:D19)</f>
        <v>58</v>
      </c>
      <c r="C61" s="2">
        <f ca="1">SUMIF(February!B17:B80,'Units Sold vs Units Purchased'!A61,February!D17:D19)</f>
        <v>82</v>
      </c>
      <c r="D61" s="2">
        <f ca="1">SUMIF(March!B17:B80,'Units Sold vs Units Purchased'!A61,March!D17:D19)</f>
        <v>60</v>
      </c>
      <c r="E61" s="2">
        <f ca="1">SUMIF(April!B17:B80,'Units Sold vs Units Purchased'!A61,April!D17:D19)</f>
        <v>133</v>
      </c>
      <c r="F61" s="2">
        <f ca="1">SUMIF(May!B17:B80,'Units Sold vs Units Purchased'!A61,May!D17:D19)</f>
        <v>126</v>
      </c>
      <c r="G61" s="2">
        <f ca="1">SUMIF(June!B17:B80,'Units Sold vs Units Purchased'!A61,June!D17:D19)</f>
        <v>133</v>
      </c>
      <c r="H61" s="2">
        <f t="shared" ca="1" si="1"/>
        <v>592</v>
      </c>
    </row>
    <row r="62" spans="1:8" x14ac:dyDescent="0.25">
      <c r="A62" s="2" t="str">
        <v>Notebook Cover</v>
      </c>
      <c r="B62" s="2">
        <f ca="1">SUMIF(January!B18:B81,'Units Sold vs Units Purchased'!A62,January!D18:D20)</f>
        <v>54</v>
      </c>
      <c r="C62" s="2">
        <f ca="1">SUMIF(February!B18:B81,'Units Sold vs Units Purchased'!A62,February!D18:D20)</f>
        <v>85</v>
      </c>
      <c r="D62" s="2">
        <f ca="1">SUMIF(March!B18:B81,'Units Sold vs Units Purchased'!A62,March!D18:D20)</f>
        <v>61</v>
      </c>
      <c r="E62" s="2">
        <f ca="1">SUMIF(April!B18:B81,'Units Sold vs Units Purchased'!A62,April!D18:D20)</f>
        <v>73</v>
      </c>
      <c r="F62" s="2">
        <f ca="1">SUMIF(May!B18:B81,'Units Sold vs Units Purchased'!A62,May!D18:D20)</f>
        <v>93</v>
      </c>
      <c r="G62" s="2">
        <f ca="1">SUMIF(June!B18:B81,'Units Sold vs Units Purchased'!A62,June!D18:D20)</f>
        <v>92</v>
      </c>
      <c r="H62" s="2">
        <f t="shared" ca="1" si="1"/>
        <v>458</v>
      </c>
    </row>
    <row r="63" spans="1:8" x14ac:dyDescent="0.25">
      <c r="A63" s="2" t="str">
        <v>A4 Sheets</v>
      </c>
      <c r="B63" s="2">
        <f ca="1">SUMIF(January!B19:B82,'Units Sold vs Units Purchased'!A63,January!D19:D21)</f>
        <v>72</v>
      </c>
      <c r="C63" s="2">
        <f ca="1">SUMIF(February!B19:B82,'Units Sold vs Units Purchased'!A63,February!D19:D21)</f>
        <v>71</v>
      </c>
      <c r="D63" s="2">
        <f ca="1">SUMIF(March!B19:B82,'Units Sold vs Units Purchased'!A63,March!D19:D21)</f>
        <v>59</v>
      </c>
      <c r="E63" s="2">
        <f ca="1">SUMIF(April!B19:B82,'Units Sold vs Units Purchased'!A63,April!D19:D21)</f>
        <v>87</v>
      </c>
      <c r="F63" s="2">
        <f ca="1">SUMIF(May!B19:B82,'Units Sold vs Units Purchased'!A63,May!D19:D21)</f>
        <v>87</v>
      </c>
      <c r="G63" s="2">
        <f ca="1">SUMIF(June!B19:B82,'Units Sold vs Units Purchased'!A63,June!D19:D21)</f>
        <v>112</v>
      </c>
      <c r="H63" s="2">
        <f t="shared" ca="1" si="1"/>
        <v>488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7576-A7A6-4708-9065-C977A180A780}">
  <dimension ref="A1:G41"/>
  <sheetViews>
    <sheetView zoomScale="92" workbookViewId="0">
      <selection activeCell="X43" sqref="X43"/>
    </sheetView>
  </sheetViews>
  <sheetFormatPr defaultRowHeight="15" x14ac:dyDescent="0.25"/>
  <cols>
    <col min="1" max="1" width="25.5703125" bestFit="1" customWidth="1"/>
    <col min="2" max="2" width="9.42578125" customWidth="1"/>
  </cols>
  <sheetData>
    <row r="1" spans="1:7" ht="18.75" x14ac:dyDescent="0.3">
      <c r="A1" s="36" t="s">
        <v>137</v>
      </c>
      <c r="B1" s="36"/>
    </row>
    <row r="2" spans="1:7" x14ac:dyDescent="0.25">
      <c r="A2" s="35" t="s">
        <v>136</v>
      </c>
      <c r="B2" s="35" t="s">
        <v>123</v>
      </c>
      <c r="C2" s="35" t="s">
        <v>124</v>
      </c>
      <c r="D2" s="35" t="s">
        <v>94</v>
      </c>
      <c r="E2" s="35" t="s">
        <v>95</v>
      </c>
      <c r="F2" s="35" t="s">
        <v>96</v>
      </c>
      <c r="G2" s="35" t="s">
        <v>97</v>
      </c>
    </row>
    <row r="3" spans="1:7" x14ac:dyDescent="0.25">
      <c r="A3" s="2" t="str" cm="1">
        <f t="array" ref="A3:A20">_xlfn.UNIQUE(January!B2:B65)</f>
        <v>Spiral Notebook</v>
      </c>
      <c r="B3" s="2">
        <f>SUMIF(January!B2:B65,'Monthly purchase by category'!A3,January!D2:D65)</f>
        <v>54</v>
      </c>
      <c r="C3" s="2">
        <f>SUMIF(February!B2:B65,'Monthly purchase by category'!A3,February!D2:D65)</f>
        <v>34</v>
      </c>
      <c r="D3" s="2">
        <f>SUMIF(March!B2:B65,'Monthly purchase by category'!A3,March!D2:D65)</f>
        <v>65</v>
      </c>
      <c r="E3" s="2">
        <f>SUMIF(April!B2:B65,'Monthly purchase by category'!A3,April!D2:D65)</f>
        <v>140</v>
      </c>
      <c r="F3" s="2">
        <f>SUMIF(May!B2:B65,'Monthly purchase by category'!A3,May!D2:D65)</f>
        <v>113</v>
      </c>
      <c r="G3" s="2">
        <f>SUMIF(June!B2:B65,'Monthly purchase by category'!A3,June!D2:D65)</f>
        <v>189</v>
      </c>
    </row>
    <row r="4" spans="1:7" x14ac:dyDescent="0.25">
      <c r="A4" s="2" t="str">
        <v>Ruled Notebook</v>
      </c>
      <c r="B4" s="2">
        <f>SUMIF(January!B3:B66,'Monthly purchase by category'!A4,January!D3:D66)</f>
        <v>76</v>
      </c>
      <c r="C4" s="2">
        <f>SUMIF(February!B3:B66,'Monthly purchase by category'!A4,February!D3:D66)</f>
        <v>59</v>
      </c>
      <c r="D4" s="2">
        <f>SUMIF(March!B3:B66,'Monthly purchase by category'!A4,March!D3:D66)</f>
        <v>102</v>
      </c>
      <c r="E4" s="2">
        <f>SUMIF(April!B3:B66,'Monthly purchase by category'!A4,April!D3:D66)</f>
        <v>192</v>
      </c>
      <c r="F4" s="2">
        <f>SUMIF(May!B3:B66,'Monthly purchase by category'!A4,May!D3:D66)</f>
        <v>149</v>
      </c>
      <c r="G4" s="2">
        <f>SUMIF(June!B3:B66,'Monthly purchase by category'!A4,June!D3:D66)</f>
        <v>242</v>
      </c>
    </row>
    <row r="5" spans="1:7" x14ac:dyDescent="0.25">
      <c r="A5" s="2" t="str">
        <v>Unruled Notebook</v>
      </c>
      <c r="B5" s="2">
        <f>SUMIF(January!B4:B67,'Monthly purchase by category'!A5,January!D4:D67)</f>
        <v>26</v>
      </c>
      <c r="C5" s="2">
        <f>SUMIF(February!B4:B67,'Monthly purchase by category'!A5,February!D4:D67)</f>
        <v>21</v>
      </c>
      <c r="D5" s="2">
        <f>SUMIF(March!B4:B67,'Monthly purchase by category'!A5,March!D4:D67)</f>
        <v>26</v>
      </c>
      <c r="E5" s="2">
        <f>SUMIF(April!B4:B67,'Monthly purchase by category'!A5,April!D4:D67)</f>
        <v>71</v>
      </c>
      <c r="F5" s="2">
        <f>SUMIF(May!B4:B67,'Monthly purchase by category'!A5,May!D4:D67)</f>
        <v>65</v>
      </c>
      <c r="G5" s="2">
        <f>SUMIF(June!B4:B67,'Monthly purchase by category'!A5,June!D4:D67)</f>
        <v>101</v>
      </c>
    </row>
    <row r="6" spans="1:7" x14ac:dyDescent="0.25">
      <c r="A6" s="2" t="str">
        <v>Register</v>
      </c>
      <c r="B6" s="2">
        <f>SUMIF(January!B5:B68,'Monthly purchase by category'!A6,January!D5:D68)</f>
        <v>32</v>
      </c>
      <c r="C6" s="2">
        <f>SUMIF(February!B5:B68,'Monthly purchase by category'!A6,February!D5:D68)</f>
        <v>60</v>
      </c>
      <c r="D6" s="2">
        <f>SUMIF(March!B5:B68,'Monthly purchase by category'!A6,March!D5:D68)</f>
        <v>67</v>
      </c>
      <c r="E6" s="2">
        <f>SUMIF(April!B5:B68,'Monthly purchase by category'!A6,April!D5:D68)</f>
        <v>113</v>
      </c>
      <c r="F6" s="2">
        <f>SUMIF(May!B5:B68,'Monthly purchase by category'!A6,May!D5:D68)</f>
        <v>90</v>
      </c>
      <c r="G6" s="2">
        <f>SUMIF(June!B5:B68,'Monthly purchase by category'!A6,June!D5:D68)</f>
        <v>142</v>
      </c>
    </row>
    <row r="7" spans="1:7" x14ac:dyDescent="0.25">
      <c r="A7" s="2" t="str">
        <v>Pencils</v>
      </c>
      <c r="B7" s="2">
        <f>SUMIF(January!B6:B69,'Monthly purchase by category'!A7,January!D6:D69)</f>
        <v>67</v>
      </c>
      <c r="C7" s="2">
        <f>SUMIF(February!B6:B69,'Monthly purchase by category'!A7,February!D6:D69)</f>
        <v>103</v>
      </c>
      <c r="D7" s="2">
        <f>SUMIF(March!B6:B69,'Monthly purchase by category'!A7,March!D6:D69)</f>
        <v>110</v>
      </c>
      <c r="E7" s="2">
        <f>SUMIF(April!B6:B69,'Monthly purchase by category'!A7,April!D6:D69)</f>
        <v>182</v>
      </c>
      <c r="F7" s="2">
        <f>SUMIF(May!B6:B69,'Monthly purchase by category'!A7,May!D6:D69)</f>
        <v>173</v>
      </c>
      <c r="G7" s="2">
        <f>SUMIF(June!B6:B69,'Monthly purchase by category'!A7,June!D6:D69)</f>
        <v>167</v>
      </c>
    </row>
    <row r="8" spans="1:7" x14ac:dyDescent="0.25">
      <c r="A8" s="2" t="str">
        <v>Pens</v>
      </c>
      <c r="B8" s="2">
        <f>SUMIF(January!B7:B70,'Monthly purchase by category'!A8,January!D7:D70)</f>
        <v>166</v>
      </c>
      <c r="C8" s="2">
        <f>SUMIF(February!B7:B70,'Monthly purchase by category'!A8,February!D7:D70)</f>
        <v>167</v>
      </c>
      <c r="D8" s="2">
        <f>SUMIF(March!B7:B70,'Monthly purchase by category'!A8,March!D7:D70)</f>
        <v>184</v>
      </c>
      <c r="E8" s="2">
        <f>SUMIF(April!B7:B70,'Monthly purchase by category'!A8,April!D7:D70)</f>
        <v>259</v>
      </c>
      <c r="F8" s="2">
        <f>SUMIF(May!B7:B70,'Monthly purchase by category'!A8,May!D7:D70)</f>
        <v>320</v>
      </c>
      <c r="G8" s="2">
        <f>SUMIF(June!B7:B70,'Monthly purchase by category'!A8,June!D7:D70)</f>
        <v>312</v>
      </c>
    </row>
    <row r="9" spans="1:7" x14ac:dyDescent="0.25">
      <c r="A9" s="2" t="str">
        <v>Geometry Box</v>
      </c>
      <c r="B9" s="2">
        <f>SUMIF(January!B8:B71,'Monthly purchase by category'!A9,January!D8:D71)</f>
        <v>29</v>
      </c>
      <c r="C9" s="2">
        <f>SUMIF(February!B8:B71,'Monthly purchase by category'!A9,February!D8:D71)</f>
        <v>5</v>
      </c>
      <c r="D9" s="2">
        <f>SUMIF(March!B8:B71,'Monthly purchase by category'!A9,March!D8:D71)</f>
        <v>9</v>
      </c>
      <c r="E9" s="2">
        <f>SUMIF(April!B8:B71,'Monthly purchase by category'!A9,April!D8:D71)</f>
        <v>42</v>
      </c>
      <c r="F9" s="2">
        <f>SUMIF(May!B8:B71,'Monthly purchase by category'!A9,May!D8:D71)</f>
        <v>35</v>
      </c>
      <c r="G9" s="2">
        <f>SUMIF(June!B8:B71,'Monthly purchase by category'!A9,June!D8:D71)</f>
        <v>43</v>
      </c>
    </row>
    <row r="10" spans="1:7" x14ac:dyDescent="0.25">
      <c r="A10" s="2" t="str">
        <v>Chart Paper</v>
      </c>
      <c r="B10" s="2">
        <f>SUMIF(January!B9:B72,'Monthly purchase by category'!A10,January!D9:D72)</f>
        <v>46</v>
      </c>
      <c r="C10" s="2">
        <f>SUMIF(February!B9:B72,'Monthly purchase by category'!A10,February!D9:D72)</f>
        <v>25</v>
      </c>
      <c r="D10" s="2">
        <f>SUMIF(March!B9:B72,'Monthly purchase by category'!A10,March!D9:D72)</f>
        <v>37</v>
      </c>
      <c r="E10" s="2">
        <f>SUMIF(April!B9:B72,'Monthly purchase by category'!A10,April!D9:D72)</f>
        <v>50</v>
      </c>
      <c r="F10" s="2">
        <f>SUMIF(May!B9:B72,'Monthly purchase by category'!A10,May!D9:D72)</f>
        <v>59</v>
      </c>
      <c r="G10" s="2">
        <f>SUMIF(June!B9:B72,'Monthly purchase by category'!A10,June!D9:D72)</f>
        <v>75</v>
      </c>
    </row>
    <row r="11" spans="1:7" x14ac:dyDescent="0.25">
      <c r="A11" s="2" t="str">
        <v>Adhesive</v>
      </c>
      <c r="B11" s="2">
        <f>SUMIF(January!B10:B73,'Monthly purchase by category'!A11,January!D10:D73)</f>
        <v>89</v>
      </c>
      <c r="C11" s="2">
        <f>SUMIF(February!B10:B73,'Monthly purchase by category'!A11,February!D10:D73)</f>
        <v>37</v>
      </c>
      <c r="D11" s="2">
        <f>SUMIF(March!B10:B73,'Monthly purchase by category'!A11,March!D10:D73)</f>
        <v>80</v>
      </c>
      <c r="E11" s="2">
        <f>SUMIF(April!B10:B73,'Monthly purchase by category'!A11,April!D10:D73)</f>
        <v>104</v>
      </c>
      <c r="F11" s="2">
        <f>SUMIF(May!B10:B73,'Monthly purchase by category'!A11,May!D10:D73)</f>
        <v>122</v>
      </c>
      <c r="G11" s="2">
        <f>SUMIF(June!B10:B73,'Monthly purchase by category'!A11,June!D10:D73)</f>
        <v>143</v>
      </c>
    </row>
    <row r="12" spans="1:7" x14ac:dyDescent="0.25">
      <c r="A12" s="2" t="str">
        <v>Color Pencils</v>
      </c>
      <c r="B12" s="2">
        <f>SUMIF(January!B11:B74,'Monthly purchase by category'!A12,January!D11:D74)</f>
        <v>43</v>
      </c>
      <c r="C12" s="2">
        <f>SUMIF(February!B11:B74,'Monthly purchase by category'!A12,February!D11:D74)</f>
        <v>35</v>
      </c>
      <c r="D12" s="2">
        <f>SUMIF(March!B11:B74,'Monthly purchase by category'!A12,March!D11:D74)</f>
        <v>71</v>
      </c>
      <c r="E12" s="2">
        <f>SUMIF(April!B11:B74,'Monthly purchase by category'!A12,April!D11:D74)</f>
        <v>100</v>
      </c>
      <c r="F12" s="2">
        <f>SUMIF(May!B11:B74,'Monthly purchase by category'!A12,May!D11:D74)</f>
        <v>123</v>
      </c>
      <c r="G12" s="2">
        <f>SUMIF(June!B11:B74,'Monthly purchase by category'!A12,June!D11:D74)</f>
        <v>110</v>
      </c>
    </row>
    <row r="13" spans="1:7" x14ac:dyDescent="0.25">
      <c r="A13" s="2" t="str">
        <v>Project File</v>
      </c>
      <c r="B13" s="2">
        <f>SUMIF(January!B12:B75,'Monthly purchase by category'!A13,January!D12:D75)</f>
        <v>22</v>
      </c>
      <c r="C13" s="2">
        <f>SUMIF(February!B12:B75,'Monthly purchase by category'!A13,February!D12:D75)</f>
        <v>22</v>
      </c>
      <c r="D13" s="2">
        <f>SUMIF(March!B12:B75,'Monthly purchase by category'!A13,March!D12:D75)</f>
        <v>31</v>
      </c>
      <c r="E13" s="2">
        <f>SUMIF(April!B12:B75,'Monthly purchase by category'!A13,April!D12:D75)</f>
        <v>57</v>
      </c>
      <c r="F13" s="2">
        <f>SUMIF(May!B12:B75,'Monthly purchase by category'!A13,May!D12:D75)</f>
        <v>59</v>
      </c>
      <c r="G13" s="2">
        <f>SUMIF(June!B12:B75,'Monthly purchase by category'!A13,June!D12:D75)</f>
        <v>64</v>
      </c>
    </row>
    <row r="14" spans="1:7" x14ac:dyDescent="0.25">
      <c r="A14" s="2" t="str">
        <v>Stapler</v>
      </c>
      <c r="B14" s="2">
        <f>SUMIF(January!B13:B76,'Monthly purchase by category'!A14,January!D13:D76)</f>
        <v>25</v>
      </c>
      <c r="C14" s="2">
        <f>SUMIF(February!B13:B76,'Monthly purchase by category'!A14,February!D13:D76)</f>
        <v>26</v>
      </c>
      <c r="D14" s="2">
        <f>SUMIF(March!B13:B76,'Monthly purchase by category'!A14,March!D13:D76)</f>
        <v>28</v>
      </c>
      <c r="E14" s="2">
        <f>SUMIF(April!B13:B76,'Monthly purchase by category'!A14,April!D13:D76)</f>
        <v>47</v>
      </c>
      <c r="F14" s="2">
        <f>SUMIF(May!B13:B76,'Monthly purchase by category'!A14,May!D13:D76)</f>
        <v>39</v>
      </c>
      <c r="G14" s="2">
        <f>SUMIF(June!B13:B76,'Monthly purchase by category'!A14,June!D13:D76)</f>
        <v>47</v>
      </c>
    </row>
    <row r="15" spans="1:7" x14ac:dyDescent="0.25">
      <c r="A15" s="2" t="str">
        <v>Drawing Book</v>
      </c>
      <c r="B15" s="2">
        <f>SUMIF(January!B14:B77,'Monthly purchase by category'!A15,January!D14:D77)</f>
        <v>29</v>
      </c>
      <c r="C15" s="2">
        <f>SUMIF(February!B14:B77,'Monthly purchase by category'!A15,February!D14:D77)</f>
        <v>60</v>
      </c>
      <c r="D15" s="2">
        <f>SUMIF(March!B14:B77,'Monthly purchase by category'!A15,March!D14:D77)</f>
        <v>36</v>
      </c>
      <c r="E15" s="2">
        <f>SUMIF(April!B14:B77,'Monthly purchase by category'!A15,April!D14:D77)</f>
        <v>56</v>
      </c>
      <c r="F15" s="2">
        <f>SUMIF(May!B14:B77,'Monthly purchase by category'!A15,May!D14:D77)</f>
        <v>71</v>
      </c>
      <c r="G15" s="2">
        <f>SUMIF(June!B14:B77,'Monthly purchase by category'!A15,June!D14:D77)</f>
        <v>107</v>
      </c>
    </row>
    <row r="16" spans="1:7" x14ac:dyDescent="0.25">
      <c r="A16" s="2" t="str">
        <v>Adhesive Tape</v>
      </c>
      <c r="B16" s="2">
        <f>SUMIF(January!B15:B78,'Monthly purchase by category'!A16,January!D15:D78)</f>
        <v>47</v>
      </c>
      <c r="C16" s="2">
        <f>SUMIF(February!B15:B78,'Monthly purchase by category'!A16,February!D15:D78)</f>
        <v>53</v>
      </c>
      <c r="D16" s="2">
        <f>SUMIF(March!B15:B78,'Monthly purchase by category'!A16,March!D15:D78)</f>
        <v>45</v>
      </c>
      <c r="E16" s="2">
        <f>SUMIF(April!B15:B78,'Monthly purchase by category'!A16,April!D15:D78)</f>
        <v>69</v>
      </c>
      <c r="F16" s="2">
        <f>SUMIF(May!B15:B78,'Monthly purchase by category'!A16,May!D15:D78)</f>
        <v>79</v>
      </c>
      <c r="G16" s="2">
        <f>SUMIF(June!B15:B78,'Monthly purchase by category'!A16,June!D15:D78)</f>
        <v>97</v>
      </c>
    </row>
    <row r="17" spans="1:7" x14ac:dyDescent="0.25">
      <c r="A17" s="2" t="str">
        <v>Markers</v>
      </c>
      <c r="B17" s="2">
        <f>SUMIF(January!B16:B79,'Monthly purchase by category'!A17,January!D16:D79)</f>
        <v>67</v>
      </c>
      <c r="C17" s="2">
        <f>SUMIF(February!B16:B79,'Monthly purchase by category'!A17,February!D16:D79)</f>
        <v>64</v>
      </c>
      <c r="D17" s="2">
        <f>SUMIF(March!B16:B79,'Monthly purchase by category'!A17,March!D16:D79)</f>
        <v>77</v>
      </c>
      <c r="E17" s="2">
        <f>SUMIF(April!B16:B79,'Monthly purchase by category'!A17,April!D16:D79)</f>
        <v>109</v>
      </c>
      <c r="F17" s="2">
        <f>SUMIF(May!B16:B79,'Monthly purchase by category'!A17,May!D16:D79)</f>
        <v>140</v>
      </c>
      <c r="G17" s="2">
        <f>SUMIF(June!B16:B79,'Monthly purchase by category'!A17,June!D16:D79)</f>
        <v>143</v>
      </c>
    </row>
    <row r="18" spans="1:7" x14ac:dyDescent="0.25">
      <c r="A18" s="2" t="str">
        <v>Water Colors and Oil paints</v>
      </c>
      <c r="B18" s="2">
        <f>SUMIF(January!B17:B80,'Monthly purchase by category'!A18,January!D17:D80)</f>
        <v>58</v>
      </c>
      <c r="C18" s="2">
        <f>SUMIF(February!B17:B80,'Monthly purchase by category'!A18,February!D17:D80)</f>
        <v>82</v>
      </c>
      <c r="D18" s="2">
        <f>SUMIF(March!B17:B80,'Monthly purchase by category'!A18,March!D17:D80)</f>
        <v>60</v>
      </c>
      <c r="E18" s="2">
        <f>SUMIF(April!B17:B80,'Monthly purchase by category'!A18,April!D17:D80)</f>
        <v>133</v>
      </c>
      <c r="F18" s="2">
        <f>SUMIF(May!B17:B80,'Monthly purchase by category'!A18,May!D17:D80)</f>
        <v>126</v>
      </c>
      <c r="G18" s="2">
        <f>SUMIF(June!B17:B80,'Monthly purchase by category'!A18,June!D17:D80)</f>
        <v>133</v>
      </c>
    </row>
    <row r="19" spans="1:7" x14ac:dyDescent="0.25">
      <c r="A19" s="2" t="str">
        <v>Notebook Cover</v>
      </c>
      <c r="B19" s="2">
        <f>SUMIF(January!B18:B81,'Monthly purchase by category'!A19,January!D18:D81)</f>
        <v>54</v>
      </c>
      <c r="C19" s="2">
        <f>SUMIF(February!B18:B81,'Monthly purchase by category'!A19,February!D18:D81)</f>
        <v>85</v>
      </c>
      <c r="D19" s="2">
        <f>SUMIF(March!B18:B81,'Monthly purchase by category'!A19,March!D18:D81)</f>
        <v>61</v>
      </c>
      <c r="E19" s="2">
        <f>SUMIF(April!B18:B81,'Monthly purchase by category'!A19,April!D18:D81)</f>
        <v>73</v>
      </c>
      <c r="F19" s="2">
        <f>SUMIF(May!B18:B81,'Monthly purchase by category'!A19,May!D18:D81)</f>
        <v>93</v>
      </c>
      <c r="G19" s="2">
        <f>SUMIF(June!B18:B81,'Monthly purchase by category'!A19,June!D18:D81)</f>
        <v>92</v>
      </c>
    </row>
    <row r="20" spans="1:7" x14ac:dyDescent="0.25">
      <c r="A20" s="2" t="str">
        <v>A4 Sheets</v>
      </c>
      <c r="B20" s="2">
        <f>SUMIF(January!B19:B82,'Monthly purchase by category'!A20,January!D19:D82)</f>
        <v>72</v>
      </c>
      <c r="C20" s="2">
        <f>SUMIF(February!B19:B82,'Monthly purchase by category'!A20,February!D19:D82)</f>
        <v>71</v>
      </c>
      <c r="D20" s="2">
        <f>SUMIF(March!B19:B82,'Monthly purchase by category'!A20,March!D19:D82)</f>
        <v>59</v>
      </c>
      <c r="E20" s="2">
        <f>SUMIF(April!B19:B82,'Monthly purchase by category'!A20,April!D19:D82)</f>
        <v>87</v>
      </c>
      <c r="F20" s="2">
        <f>SUMIF(May!B19:B82,'Monthly purchase by category'!A20,May!D19:D82)</f>
        <v>87</v>
      </c>
      <c r="G20" s="2">
        <f>SUMIF(June!B19:B82,'Monthly purchase by category'!A20,June!D19:D82)</f>
        <v>112</v>
      </c>
    </row>
    <row r="24" spans="1:7" x14ac:dyDescent="0.25">
      <c r="A24" s="2" t="s">
        <v>18</v>
      </c>
      <c r="B24" s="2" t="s">
        <v>123</v>
      </c>
      <c r="C24" s="2" t="s">
        <v>124</v>
      </c>
      <c r="D24" s="2" t="s">
        <v>94</v>
      </c>
      <c r="E24" s="2" t="s">
        <v>95</v>
      </c>
      <c r="F24" s="2" t="s">
        <v>96</v>
      </c>
      <c r="G24" s="2" t="s">
        <v>97</v>
      </c>
    </row>
    <row r="25" spans="1:7" x14ac:dyDescent="0.25">
      <c r="A25" s="2" t="s">
        <v>40</v>
      </c>
      <c r="B25" s="2">
        <v>166</v>
      </c>
      <c r="C25" s="2">
        <v>167</v>
      </c>
      <c r="D25" s="2">
        <v>184</v>
      </c>
      <c r="E25" s="2">
        <v>259</v>
      </c>
      <c r="F25" s="2">
        <v>320</v>
      </c>
      <c r="G25" s="2">
        <v>312</v>
      </c>
    </row>
    <row r="26" spans="1:7" x14ac:dyDescent="0.25">
      <c r="A26" s="2" t="s">
        <v>32</v>
      </c>
      <c r="B26" s="2">
        <v>76</v>
      </c>
      <c r="C26" s="2">
        <v>59</v>
      </c>
      <c r="D26" s="2">
        <v>102</v>
      </c>
      <c r="E26" s="2">
        <v>192</v>
      </c>
      <c r="F26" s="2">
        <v>149</v>
      </c>
      <c r="G26" s="2">
        <v>242</v>
      </c>
    </row>
    <row r="27" spans="1:7" x14ac:dyDescent="0.25">
      <c r="A27" s="2" t="s">
        <v>80</v>
      </c>
      <c r="B27" s="2">
        <v>22</v>
      </c>
      <c r="C27" s="2">
        <v>22</v>
      </c>
      <c r="D27" s="2">
        <v>31</v>
      </c>
      <c r="E27" s="2">
        <v>57</v>
      </c>
      <c r="F27" s="2">
        <v>59</v>
      </c>
      <c r="G27" s="2">
        <v>64</v>
      </c>
    </row>
    <row r="28" spans="1:7" x14ac:dyDescent="0.25">
      <c r="A28" s="2" t="s">
        <v>17</v>
      </c>
      <c r="B28" s="2">
        <v>67</v>
      </c>
      <c r="C28" s="2">
        <v>64</v>
      </c>
      <c r="D28" s="2">
        <v>77</v>
      </c>
      <c r="E28" s="2">
        <v>109</v>
      </c>
      <c r="F28" s="2">
        <v>140</v>
      </c>
      <c r="G28" s="2">
        <v>143</v>
      </c>
    </row>
    <row r="29" spans="1:7" x14ac:dyDescent="0.25">
      <c r="A29" s="2" t="s">
        <v>13</v>
      </c>
      <c r="B29" s="2">
        <v>43</v>
      </c>
      <c r="C29" s="2">
        <v>35</v>
      </c>
      <c r="D29" s="2">
        <v>71</v>
      </c>
      <c r="E29" s="2">
        <v>100</v>
      </c>
      <c r="F29" s="2">
        <v>123</v>
      </c>
      <c r="G29" s="2">
        <v>110</v>
      </c>
    </row>
    <row r="30" spans="1:7" x14ac:dyDescent="0.25">
      <c r="A30" s="2" t="s">
        <v>57</v>
      </c>
      <c r="B30" s="2">
        <v>89</v>
      </c>
      <c r="C30" s="2">
        <v>37</v>
      </c>
      <c r="D30" s="2">
        <v>80</v>
      </c>
      <c r="E30" s="2">
        <v>104</v>
      </c>
      <c r="F30" s="2">
        <v>122</v>
      </c>
      <c r="G30" s="2">
        <v>143</v>
      </c>
    </row>
    <row r="38" spans="1:7" x14ac:dyDescent="0.25">
      <c r="A38" s="2" t="s">
        <v>18</v>
      </c>
      <c r="B38" s="2" t="s">
        <v>123</v>
      </c>
      <c r="C38" s="2" t="s">
        <v>124</v>
      </c>
      <c r="D38" s="2" t="s">
        <v>94</v>
      </c>
      <c r="E38" s="2" t="s">
        <v>95</v>
      </c>
      <c r="F38" s="2" t="s">
        <v>96</v>
      </c>
      <c r="G38" s="2" t="s">
        <v>97</v>
      </c>
    </row>
    <row r="39" spans="1:7" x14ac:dyDescent="0.25">
      <c r="A39" s="2" t="s">
        <v>32</v>
      </c>
      <c r="B39" s="2">
        <v>76</v>
      </c>
      <c r="C39" s="2">
        <v>59</v>
      </c>
      <c r="D39" s="2">
        <v>102</v>
      </c>
      <c r="E39" s="2">
        <v>192</v>
      </c>
      <c r="F39" s="2">
        <v>149</v>
      </c>
      <c r="G39" s="2">
        <v>242</v>
      </c>
    </row>
    <row r="40" spans="1:7" x14ac:dyDescent="0.25">
      <c r="A40" s="2" t="s">
        <v>82</v>
      </c>
      <c r="B40" s="2">
        <v>58</v>
      </c>
      <c r="C40" s="2">
        <v>82</v>
      </c>
      <c r="D40" s="2">
        <v>60</v>
      </c>
      <c r="E40" s="2">
        <v>133</v>
      </c>
      <c r="F40" s="2">
        <v>126</v>
      </c>
      <c r="G40" s="2">
        <v>133</v>
      </c>
    </row>
    <row r="41" spans="1:7" x14ac:dyDescent="0.25">
      <c r="A41" s="2" t="s">
        <v>19</v>
      </c>
      <c r="B41" s="2">
        <v>54</v>
      </c>
      <c r="C41" s="2">
        <v>34</v>
      </c>
      <c r="D41" s="2">
        <v>65</v>
      </c>
      <c r="E41" s="2">
        <v>140</v>
      </c>
      <c r="F41" s="2">
        <v>113</v>
      </c>
      <c r="G41" s="2">
        <v>189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9D84-1FBA-411B-9664-106768CD63AB}">
  <dimension ref="A1:G25"/>
  <sheetViews>
    <sheetView topLeftCell="A22" zoomScale="123" workbookViewId="0">
      <selection activeCell="N40" sqref="N40"/>
    </sheetView>
  </sheetViews>
  <sheetFormatPr defaultRowHeight="15" x14ac:dyDescent="0.25"/>
  <cols>
    <col min="1" max="1" width="17.28515625" customWidth="1"/>
    <col min="2" max="2" width="11.85546875" customWidth="1"/>
    <col min="3" max="3" width="11.42578125" customWidth="1"/>
    <col min="4" max="4" width="11.140625" customWidth="1"/>
    <col min="5" max="5" width="11.7109375" customWidth="1"/>
    <col min="6" max="6" width="11.140625" customWidth="1"/>
    <col min="7" max="7" width="12" customWidth="1"/>
  </cols>
  <sheetData>
    <row r="1" spans="1:7" ht="21" x14ac:dyDescent="0.35">
      <c r="A1" s="18" t="s">
        <v>126</v>
      </c>
      <c r="B1" s="18"/>
      <c r="C1" s="18"/>
      <c r="D1" s="19"/>
    </row>
    <row r="2" spans="1:7" s="13" customFormat="1" x14ac:dyDescent="0.25">
      <c r="A2" s="8" t="s">
        <v>18</v>
      </c>
      <c r="B2" s="8" t="s">
        <v>123</v>
      </c>
      <c r="C2" s="8" t="s">
        <v>124</v>
      </c>
      <c r="D2" s="8" t="s">
        <v>94</v>
      </c>
      <c r="E2" s="8" t="s">
        <v>95</v>
      </c>
      <c r="F2" s="8" t="s">
        <v>96</v>
      </c>
      <c r="G2" s="8" t="s">
        <v>97</v>
      </c>
    </row>
    <row r="3" spans="1:7" x14ac:dyDescent="0.25">
      <c r="A3" s="6" t="s">
        <v>40</v>
      </c>
      <c r="B3" s="6">
        <v>215</v>
      </c>
      <c r="C3" s="6">
        <v>168</v>
      </c>
      <c r="D3" s="6">
        <v>168</v>
      </c>
      <c r="E3" s="6">
        <v>250</v>
      </c>
      <c r="F3" s="6">
        <v>208</v>
      </c>
      <c r="G3" s="6">
        <v>304</v>
      </c>
    </row>
    <row r="4" spans="1:7" x14ac:dyDescent="0.25">
      <c r="A4" s="6" t="s">
        <v>32</v>
      </c>
      <c r="B4" s="6">
        <v>63</v>
      </c>
      <c r="C4" s="6">
        <v>47</v>
      </c>
      <c r="D4" s="6">
        <v>78</v>
      </c>
      <c r="E4" s="6">
        <v>189</v>
      </c>
      <c r="F4" s="6">
        <v>97</v>
      </c>
      <c r="G4" s="6">
        <v>231</v>
      </c>
    </row>
    <row r="5" spans="1:7" x14ac:dyDescent="0.25">
      <c r="A5" s="6" t="s">
        <v>19</v>
      </c>
      <c r="B5" s="6">
        <v>48</v>
      </c>
      <c r="C5" s="6">
        <v>31</v>
      </c>
      <c r="D5" s="6">
        <v>58</v>
      </c>
      <c r="E5" s="6">
        <v>131</v>
      </c>
      <c r="F5" s="6">
        <v>72</v>
      </c>
      <c r="G5" s="6">
        <v>163</v>
      </c>
    </row>
    <row r="6" spans="1:7" x14ac:dyDescent="0.25">
      <c r="A6" s="6" t="s">
        <v>10</v>
      </c>
      <c r="B6" s="6">
        <v>54</v>
      </c>
      <c r="C6" s="6">
        <v>41</v>
      </c>
      <c r="D6" s="6">
        <v>55</v>
      </c>
      <c r="E6" s="6">
        <v>72</v>
      </c>
      <c r="F6" s="6">
        <v>93</v>
      </c>
      <c r="G6" s="6">
        <v>129</v>
      </c>
    </row>
    <row r="7" spans="1:7" x14ac:dyDescent="0.25">
      <c r="A7" s="6" t="s">
        <v>13</v>
      </c>
      <c r="B7" s="6">
        <v>50</v>
      </c>
      <c r="C7" s="6">
        <v>35</v>
      </c>
      <c r="D7" s="6">
        <v>58</v>
      </c>
      <c r="E7" s="6">
        <v>89</v>
      </c>
      <c r="F7" s="6">
        <v>82</v>
      </c>
      <c r="G7" s="6">
        <v>102</v>
      </c>
    </row>
    <row r="8" spans="1:7" x14ac:dyDescent="0.25">
      <c r="A8" s="6" t="s">
        <v>57</v>
      </c>
      <c r="B8" s="6">
        <v>80</v>
      </c>
      <c r="C8" s="6">
        <v>61</v>
      </c>
      <c r="D8" s="6">
        <v>66</v>
      </c>
      <c r="E8" s="6">
        <v>93</v>
      </c>
      <c r="F8" s="6">
        <v>87</v>
      </c>
      <c r="G8" s="6">
        <v>122</v>
      </c>
    </row>
    <row r="9" spans="1:7" x14ac:dyDescent="0.25">
      <c r="A9" s="6" t="s">
        <v>125</v>
      </c>
      <c r="B9" s="6">
        <v>52</v>
      </c>
      <c r="C9" s="6">
        <v>27</v>
      </c>
      <c r="D9" s="6">
        <v>52</v>
      </c>
      <c r="E9" s="6">
        <v>90</v>
      </c>
      <c r="F9" s="6">
        <v>68</v>
      </c>
      <c r="G9" s="6">
        <v>132</v>
      </c>
    </row>
    <row r="18" spans="1:3" x14ac:dyDescent="0.25">
      <c r="A18" s="17" t="s">
        <v>148</v>
      </c>
      <c r="B18" s="17" t="s">
        <v>4</v>
      </c>
      <c r="C18" s="13" t="s">
        <v>150</v>
      </c>
    </row>
    <row r="19" spans="1:3" x14ac:dyDescent="0.25">
      <c r="A19" s="2" t="s">
        <v>123</v>
      </c>
      <c r="B19" s="2">
        <v>998</v>
      </c>
      <c r="C19">
        <v>1304.67</v>
      </c>
    </row>
    <row r="20" spans="1:3" x14ac:dyDescent="0.25">
      <c r="A20" s="2" t="s">
        <v>124</v>
      </c>
      <c r="B20" s="2">
        <v>708</v>
      </c>
      <c r="C20">
        <v>1304.67</v>
      </c>
    </row>
    <row r="21" spans="1:3" x14ac:dyDescent="0.25">
      <c r="A21" s="2" t="s">
        <v>94</v>
      </c>
      <c r="B21" s="2">
        <v>972</v>
      </c>
      <c r="C21">
        <v>1304.67</v>
      </c>
    </row>
    <row r="22" spans="1:3" x14ac:dyDescent="0.25">
      <c r="A22" s="2" t="s">
        <v>95</v>
      </c>
      <c r="B22" s="2">
        <v>1651</v>
      </c>
      <c r="C22">
        <v>1304.67</v>
      </c>
    </row>
    <row r="23" spans="1:3" x14ac:dyDescent="0.25">
      <c r="A23" s="2" t="s">
        <v>96</v>
      </c>
      <c r="B23" s="2">
        <v>1298</v>
      </c>
      <c r="C23">
        <v>1304.67</v>
      </c>
    </row>
    <row r="24" spans="1:3" x14ac:dyDescent="0.25">
      <c r="A24" s="2" t="s">
        <v>97</v>
      </c>
      <c r="B24" s="2">
        <v>2201</v>
      </c>
      <c r="C24">
        <v>1304.67</v>
      </c>
    </row>
    <row r="25" spans="1:3" x14ac:dyDescent="0.25">
      <c r="A25" s="21" t="s">
        <v>149</v>
      </c>
      <c r="B25" s="41">
        <f>AVERAGE(B19,B20,B21,B22,B23,B24)</f>
        <v>1304.6666666666667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ACF4-5D54-4FC6-8364-C05BAD81BA93}">
  <dimension ref="A1:G7"/>
  <sheetViews>
    <sheetView topLeftCell="AW1" zoomScale="128" workbookViewId="0">
      <selection activeCell="R24" sqref="R24"/>
    </sheetView>
  </sheetViews>
  <sheetFormatPr defaultRowHeight="15" x14ac:dyDescent="0.25"/>
  <cols>
    <col min="1" max="1" width="51.140625" customWidth="1"/>
  </cols>
  <sheetData>
    <row r="1" spans="1:7" ht="20.25" x14ac:dyDescent="0.35">
      <c r="A1" s="27" t="s">
        <v>131</v>
      </c>
      <c r="B1" s="19"/>
    </row>
    <row r="2" spans="1:7" s="13" customFormat="1" ht="20.25" customHeight="1" x14ac:dyDescent="0.25">
      <c r="A2" s="25" t="s">
        <v>98</v>
      </c>
      <c r="B2" s="26" t="s">
        <v>123</v>
      </c>
      <c r="C2" s="26" t="s">
        <v>124</v>
      </c>
      <c r="D2" s="26" t="s">
        <v>94</v>
      </c>
      <c r="E2" s="26" t="s">
        <v>95</v>
      </c>
      <c r="F2" s="26" t="s">
        <v>96</v>
      </c>
      <c r="G2" s="26" t="s">
        <v>97</v>
      </c>
    </row>
    <row r="3" spans="1:7" ht="23.25" customHeight="1" x14ac:dyDescent="0.25">
      <c r="A3" s="24" t="s">
        <v>36</v>
      </c>
      <c r="B3" s="24">
        <v>31</v>
      </c>
      <c r="C3" s="24">
        <v>25</v>
      </c>
      <c r="D3" s="24">
        <v>28</v>
      </c>
      <c r="E3" s="24">
        <v>39</v>
      </c>
      <c r="F3" s="24">
        <v>24</v>
      </c>
      <c r="G3" s="24">
        <v>48</v>
      </c>
    </row>
    <row r="4" spans="1:7" ht="24.75" customHeight="1" x14ac:dyDescent="0.25">
      <c r="A4" s="24" t="s">
        <v>41</v>
      </c>
      <c r="B4" s="24">
        <v>32</v>
      </c>
      <c r="C4" s="24">
        <v>28</v>
      </c>
      <c r="D4" s="24">
        <v>32</v>
      </c>
      <c r="E4" s="24">
        <v>43</v>
      </c>
      <c r="F4" s="24">
        <v>33</v>
      </c>
      <c r="G4" s="24">
        <v>49</v>
      </c>
    </row>
    <row r="5" spans="1:7" ht="24.75" customHeight="1" x14ac:dyDescent="0.25">
      <c r="A5" s="24" t="s">
        <v>130</v>
      </c>
      <c r="B5" s="24">
        <v>18</v>
      </c>
      <c r="C5" s="24">
        <v>12</v>
      </c>
      <c r="D5" s="24">
        <v>23</v>
      </c>
      <c r="E5" s="24">
        <v>49</v>
      </c>
      <c r="F5" s="24">
        <v>27</v>
      </c>
      <c r="G5" s="24">
        <v>62</v>
      </c>
    </row>
    <row r="6" spans="1:7" ht="22.5" customHeight="1" x14ac:dyDescent="0.25">
      <c r="A6" s="24" t="s">
        <v>34</v>
      </c>
      <c r="B6" s="24">
        <v>34</v>
      </c>
      <c r="C6" s="24">
        <v>17</v>
      </c>
      <c r="D6" s="24">
        <v>32</v>
      </c>
      <c r="E6" s="24">
        <v>44</v>
      </c>
      <c r="F6" s="24">
        <v>32</v>
      </c>
      <c r="G6" s="24">
        <v>49</v>
      </c>
    </row>
    <row r="7" spans="1:7" ht="14.25" customHeight="1" x14ac:dyDescent="0.25">
      <c r="A7" s="24" t="s">
        <v>39</v>
      </c>
      <c r="B7" s="24">
        <v>27</v>
      </c>
      <c r="C7" s="24">
        <v>18</v>
      </c>
      <c r="D7" s="24">
        <v>27</v>
      </c>
      <c r="E7" s="24">
        <v>41</v>
      </c>
      <c r="F7" s="24">
        <v>32</v>
      </c>
      <c r="G7" s="24">
        <v>41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55FB-2B68-4A3D-A016-7A3DB8BAC7BB}">
  <dimension ref="A2:G31"/>
  <sheetViews>
    <sheetView topLeftCell="C4" zoomScale="112" workbookViewId="0">
      <selection activeCell="L10" sqref="L10"/>
    </sheetView>
  </sheetViews>
  <sheetFormatPr defaultRowHeight="15" x14ac:dyDescent="0.25"/>
  <cols>
    <col min="1" max="1" width="25.5703125" bestFit="1" customWidth="1"/>
  </cols>
  <sheetData>
    <row r="2" spans="1:7" x14ac:dyDescent="0.25">
      <c r="A2" s="2" t="s">
        <v>18</v>
      </c>
      <c r="B2" s="2" t="s">
        <v>123</v>
      </c>
      <c r="C2" s="2" t="s">
        <v>124</v>
      </c>
      <c r="D2" s="2" t="s">
        <v>94</v>
      </c>
      <c r="E2" s="2" t="s">
        <v>95</v>
      </c>
      <c r="F2" s="2" t="s">
        <v>96</v>
      </c>
      <c r="G2" s="2" t="s">
        <v>97</v>
      </c>
    </row>
    <row r="3" spans="1:7" x14ac:dyDescent="0.25">
      <c r="A3" s="2" t="str" cm="1">
        <f t="array" ref="A3:A20">_xlfn.UNIQUE(January!B2:B65)</f>
        <v>Spiral Notebook</v>
      </c>
      <c r="B3" s="2">
        <f ca="1">SUMIF(January!B2:B65,'Monthy closing stock'!A3,January!E2:E4)</f>
        <v>139</v>
      </c>
      <c r="C3" s="2">
        <f ca="1">SUMIF(February!B2:B65,'Monthy closing stock'!A3,February!E2:E4)</f>
        <v>138</v>
      </c>
      <c r="D3" s="2">
        <f ca="1">SUMIF(March!B2:B65,'Monthy closing stock'!A3,March!E2:E4)</f>
        <v>146</v>
      </c>
      <c r="E3" s="2">
        <f ca="1">SUMIF(April!B2:B65,'Monthy closing stock'!A3,April!E2:E4)</f>
        <v>155</v>
      </c>
      <c r="F3" s="2">
        <f ca="1">SUMIF(May!B2:B65,'Monthy closing stock'!A3,May!E2:E4)</f>
        <v>196</v>
      </c>
      <c r="G3" s="2">
        <f ca="1">SUMIF(June!B2:B65,'Monthy closing stock'!A3,June!E2:E4)</f>
        <v>219</v>
      </c>
    </row>
    <row r="4" spans="1:7" x14ac:dyDescent="0.25">
      <c r="A4" s="2" t="str">
        <v>Ruled Notebook</v>
      </c>
      <c r="B4" s="2">
        <f ca="1">SUMIF(January!B3:B66,'Monthy closing stock'!A4,January!E3:E5)</f>
        <v>159</v>
      </c>
      <c r="C4" s="2">
        <f ca="1">SUMIF(February!B3:B66,'Monthy closing stock'!A4,February!E3:E5)</f>
        <v>175</v>
      </c>
      <c r="D4" s="2">
        <f ca="1">SUMIF(March!B3:B66,'Monthy closing stock'!A4,March!E3:E5)</f>
        <v>195</v>
      </c>
      <c r="E4" s="2">
        <f ca="1">SUMIF(April!B3:B66,'Monthy closing stock'!A4,April!E3:E5)</f>
        <v>196</v>
      </c>
      <c r="F4" s="2">
        <f ca="1">SUMIF(May!B3:B66,'Monthy closing stock'!A4,May!E3:E5)</f>
        <v>246</v>
      </c>
      <c r="G4" s="2">
        <f ca="1">SUMIF(June!B3:B66,'Monthy closing stock'!A4,June!E3:E5)</f>
        <v>263</v>
      </c>
    </row>
    <row r="5" spans="1:7" x14ac:dyDescent="0.25">
      <c r="A5" s="2" t="str">
        <v>Unruled Notebook</v>
      </c>
      <c r="B5" s="2">
        <f ca="1">SUMIF(January!B4:B67,'Monthy closing stock'!A5,January!E4:E6)</f>
        <v>64</v>
      </c>
      <c r="C5" s="2">
        <f ca="1">SUMIF(February!B4:B67,'Monthy closing stock'!A5,February!E4:E6)</f>
        <v>71</v>
      </c>
      <c r="D5" s="2">
        <f ca="1">SUMIF(March!B4:B67,'Monthy closing stock'!A5,March!E4:E6)</f>
        <v>73</v>
      </c>
      <c r="E5" s="2">
        <f ca="1">SUMIF(April!B4:B67,'Monthy closing stock'!A5,April!E4:E6)</f>
        <v>83</v>
      </c>
      <c r="F5" s="2">
        <f ca="1">SUMIF(May!B4:B67,'Monthy closing stock'!A5,May!E4:E6)</f>
        <v>111</v>
      </c>
      <c r="G5" s="2">
        <f ca="1">SUMIF(June!B4:B67,'Monthy closing stock'!A5,June!E4:E6)</f>
        <v>121</v>
      </c>
    </row>
    <row r="6" spans="1:7" x14ac:dyDescent="0.25">
      <c r="A6" s="2" t="str">
        <v>Register</v>
      </c>
      <c r="B6" s="2">
        <f ca="1">SUMIF(January!B5:B68,'Monthy closing stock'!A6,January!E5:E7)</f>
        <v>69</v>
      </c>
      <c r="C6" s="2">
        <f ca="1">SUMIF(February!B5:B68,'Monthy closing stock'!A6,February!E5:E7)</f>
        <v>109</v>
      </c>
      <c r="D6" s="2">
        <f ca="1">SUMIF(March!B5:B68,'Monthy closing stock'!A6,March!E5:E7)</f>
        <v>130</v>
      </c>
      <c r="E6" s="2">
        <f ca="1">SUMIF(April!B5:B68,'Monthy closing stock'!A6,April!E5:E7)</f>
        <v>143</v>
      </c>
      <c r="F6" s="2">
        <f ca="1">SUMIF(May!B5:B68,'Monthy closing stock'!A6,May!E5:E7)</f>
        <v>179</v>
      </c>
      <c r="G6" s="2">
        <f ca="1">SUMIF(June!B5:B68,'Monthy closing stock'!A6,June!E5:E7)</f>
        <v>167</v>
      </c>
    </row>
    <row r="7" spans="1:7" x14ac:dyDescent="0.25">
      <c r="A7" s="2" t="str">
        <v>Pencils</v>
      </c>
      <c r="B7" s="2">
        <f ca="1">SUMIF(January!B6:B69,'Monthy closing stock'!A7,January!E6:E8)</f>
        <v>148</v>
      </c>
      <c r="C7" s="2">
        <f ca="1">SUMIF(February!B6:B69,'Monthy closing stock'!A7,February!E6:E8)</f>
        <v>175</v>
      </c>
      <c r="D7" s="2">
        <f ca="1">SUMIF(March!B6:B69,'Monthy closing stock'!A7,March!E6:E8)</f>
        <v>176</v>
      </c>
      <c r="E7" s="2">
        <f ca="1">SUMIF(April!B6:B69,'Monthy closing stock'!A7,April!E6:E8)</f>
        <v>204</v>
      </c>
      <c r="F7" s="2">
        <f ca="1">SUMIF(May!B6:B69,'Monthy closing stock'!A7,May!E6:E8)</f>
        <v>272</v>
      </c>
      <c r="G7" s="2">
        <f ca="1">SUMIF(June!B6:B69,'Monthy closing stock'!A7,June!E6:E8)</f>
        <v>265</v>
      </c>
    </row>
    <row r="8" spans="1:7" x14ac:dyDescent="0.25">
      <c r="A8" s="2" t="str">
        <v>Pens</v>
      </c>
      <c r="B8" s="2">
        <f ca="1">SUMIF(January!B7:B70,'Monthy closing stock'!A8,January!E7:E9)</f>
        <v>307</v>
      </c>
      <c r="C8" s="2">
        <f ca="1">SUMIF(February!B7:B70,'Monthy closing stock'!A8,February!E7:E9)</f>
        <v>310</v>
      </c>
      <c r="D8" s="2">
        <f ca="1">SUMIF(March!B7:B70,'Monthy closing stock'!A8,March!E7:E9)</f>
        <v>334</v>
      </c>
      <c r="E8" s="2">
        <f ca="1">SUMIF(April!B7:B70,'Monthy closing stock'!A8,April!E7:E9)</f>
        <v>349</v>
      </c>
      <c r="F8" s="2">
        <f ca="1">SUMIF(May!B7:B70,'Monthy closing stock'!A8,May!E7:E9)</f>
        <v>457</v>
      </c>
      <c r="G8" s="2">
        <f ca="1">SUMIF(June!B7:B70,'Monthy closing stock'!A8,June!E7:E9)</f>
        <v>465</v>
      </c>
    </row>
    <row r="9" spans="1:7" x14ac:dyDescent="0.25">
      <c r="A9" s="2" t="str">
        <v>Geometry Box</v>
      </c>
      <c r="B9" s="2">
        <f ca="1">SUMIF(January!B8:B71,'Monthy closing stock'!A9,January!E8:E10)</f>
        <v>58</v>
      </c>
      <c r="C9" s="2">
        <f ca="1">SUMIF(February!B8:B71,'Monthy closing stock'!A9,February!E8:E10)</f>
        <v>56</v>
      </c>
      <c r="D9" s="2">
        <f ca="1">SUMIF(March!B8:B71,'Monthy closing stock'!A9,March!E8:E10)</f>
        <v>46</v>
      </c>
      <c r="E9" s="2">
        <f ca="1">SUMIF(April!B8:B71,'Monthy closing stock'!A9,April!E8:E10)</f>
        <v>47</v>
      </c>
      <c r="F9" s="2">
        <f ca="1">SUMIF(May!B8:B71,'Monthy closing stock'!A9,May!E8:E10)</f>
        <v>53</v>
      </c>
      <c r="G9" s="2">
        <f ca="1">SUMIF(June!B8:B71,'Monthy closing stock'!A9,June!E8:E10)</f>
        <v>48</v>
      </c>
    </row>
    <row r="10" spans="1:7" x14ac:dyDescent="0.25">
      <c r="A10" s="2" t="str">
        <v>Chart Paper</v>
      </c>
      <c r="B10" s="2">
        <f ca="1">SUMIF(January!B9:B72,'Monthy closing stock'!A10,January!E9:E11)</f>
        <v>71</v>
      </c>
      <c r="C10" s="2">
        <f ca="1">SUMIF(February!B9:B72,'Monthy closing stock'!A10,February!E9:E11)</f>
        <v>72</v>
      </c>
      <c r="D10" s="2">
        <f ca="1">SUMIF(March!B9:B72,'Monthy closing stock'!A10,March!E9:E11)</f>
        <v>80</v>
      </c>
      <c r="E10" s="2">
        <f ca="1">SUMIF(April!B9:B72,'Monthy closing stock'!A10,April!E9:E11)</f>
        <v>87</v>
      </c>
      <c r="F10" s="2">
        <f ca="1">SUMIF(May!B9:B72,'Monthy closing stock'!A10,May!E9:E11)</f>
        <v>88</v>
      </c>
      <c r="G10" s="2">
        <f ca="1">SUMIF(June!B9:B72,'Monthy closing stock'!A10,June!E9:E11)</f>
        <v>73</v>
      </c>
    </row>
    <row r="11" spans="1:7" x14ac:dyDescent="0.25">
      <c r="A11" s="2" t="str">
        <v>Adhesive</v>
      </c>
      <c r="B11" s="2">
        <f ca="1">SUMIF(January!B10:B73,'Monthy closing stock'!A11,January!E10:E12)</f>
        <v>175</v>
      </c>
      <c r="C11" s="2">
        <f ca="1">SUMIF(February!B10:B73,'Monthy closing stock'!A11,February!E10:E12)</f>
        <v>152</v>
      </c>
      <c r="D11" s="2">
        <f ca="1">SUMIF(March!B10:B73,'Monthy closing stock'!A11,March!E10:E12)</f>
        <v>164</v>
      </c>
      <c r="E11" s="2">
        <f ca="1">SUMIF(April!B10:B73,'Monthy closing stock'!A11,April!E10:E12)</f>
        <v>180</v>
      </c>
      <c r="F11" s="2">
        <f ca="1">SUMIF(May!B10:B73,'Monthy closing stock'!A11,May!E10:E12)</f>
        <v>212</v>
      </c>
      <c r="G11" s="2">
        <f ca="1">SUMIF(June!B10:B73,'Monthy closing stock'!A11,June!E10:E12)</f>
        <v>231</v>
      </c>
    </row>
    <row r="12" spans="1:7" x14ac:dyDescent="0.25">
      <c r="A12" s="2" t="str">
        <v>Color Pencils</v>
      </c>
      <c r="B12" s="2">
        <f ca="1">SUMIF(January!B11:B74,'Monthy closing stock'!A12,January!E11:E13)</f>
        <v>93</v>
      </c>
      <c r="C12" s="2">
        <f ca="1">SUMIF(February!B11:B74,'Monthy closing stock'!A12,February!E11:E13)</f>
        <v>90</v>
      </c>
      <c r="D12" s="2">
        <f ca="1">SUMIF(March!B11:B74,'Monthy closing stock'!A12,March!E11:E13)</f>
        <v>103</v>
      </c>
      <c r="E12" s="2">
        <f ca="1">SUMIF(April!B11:B74,'Monthy closing stock'!A12,April!E11:E13)</f>
        <v>113</v>
      </c>
      <c r="F12" s="2">
        <f ca="1">SUMIF(May!B11:B74,'Monthy closing stock'!A12,May!E11:E13)</f>
        <v>154</v>
      </c>
      <c r="G12" s="2">
        <f ca="1">SUMIF(June!B11:B74,'Monthy closing stock'!A12,June!E11:E13)</f>
        <v>164</v>
      </c>
    </row>
    <row r="13" spans="1:7" x14ac:dyDescent="0.25">
      <c r="A13" s="2" t="str">
        <v>Project File</v>
      </c>
      <c r="B13" s="2">
        <f ca="1">SUMIF(January!B12:B75,'Monthy closing stock'!A13,January!E12:E14)</f>
        <v>51</v>
      </c>
      <c r="C13" s="2">
        <f ca="1">SUMIF(February!B12:B75,'Monthy closing stock'!A13,February!E12:E14)</f>
        <v>51</v>
      </c>
      <c r="D13" s="2">
        <f ca="1">SUMIF(March!B12:B75,'Monthy closing stock'!A13,March!E12:E14)</f>
        <v>56</v>
      </c>
      <c r="E13" s="2">
        <f ca="1">SUMIF(April!B12:B75,'Monthy closing stock'!A13,April!E12:E14)</f>
        <v>70</v>
      </c>
      <c r="F13" s="2">
        <f ca="1">SUMIF(May!B12:B75,'Monthy closing stock'!A13,May!E12:E14)</f>
        <v>70</v>
      </c>
      <c r="G13" s="2">
        <f ca="1">SUMIF(June!B12:B75,'Monthy closing stock'!A13,June!E12:E14)</f>
        <v>79</v>
      </c>
    </row>
    <row r="14" spans="1:7" x14ac:dyDescent="0.25">
      <c r="A14" s="2" t="str">
        <v>Stapler</v>
      </c>
      <c r="B14" s="2">
        <f ca="1">SUMIF(January!B13:B76,'Monthy closing stock'!A14,January!E13:E15)</f>
        <v>54</v>
      </c>
      <c r="C14" s="2">
        <f ca="1">SUMIF(February!B13:B76,'Monthy closing stock'!A14,February!E13:E15)</f>
        <v>61</v>
      </c>
      <c r="D14" s="2">
        <f ca="1">SUMIF(March!B13:B76,'Monthy closing stock'!A14,March!E13:E15)</f>
        <v>59</v>
      </c>
      <c r="E14" s="2">
        <f ca="1">SUMIF(April!B13:B76,'Monthy closing stock'!A14,April!E13:E15)</f>
        <v>73</v>
      </c>
      <c r="F14" s="2">
        <f ca="1">SUMIF(May!B13:B76,'Monthy closing stock'!A14,May!E13:E15)</f>
        <v>74</v>
      </c>
      <c r="G14" s="2">
        <f ca="1">SUMIF(June!B13:B76,'Monthy closing stock'!A14,June!E13:E15)</f>
        <v>63</v>
      </c>
    </row>
    <row r="15" spans="1:7" x14ac:dyDescent="0.25">
      <c r="A15" s="2" t="str">
        <v>Drawing Book</v>
      </c>
      <c r="B15" s="2">
        <f ca="1">SUMIF(January!B14:B77,'Monthy closing stock'!A15,January!E14:E16)</f>
        <v>57</v>
      </c>
      <c r="C15" s="2">
        <f ca="1">SUMIF(February!B14:B77,'Monthy closing stock'!A15,February!E14:E16)</f>
        <v>102</v>
      </c>
      <c r="D15" s="2">
        <f ca="1">SUMIF(March!B14:B77,'Monthy closing stock'!A15,March!E14:E16)</f>
        <v>110</v>
      </c>
      <c r="E15" s="2">
        <f ca="1">SUMIF(April!B14:B77,'Monthy closing stock'!A15,April!E14:E16)</f>
        <v>118</v>
      </c>
      <c r="F15" s="2">
        <f ca="1">SUMIF(May!B14:B77,'Monthy closing stock'!A15,May!E14:E16)</f>
        <v>157</v>
      </c>
      <c r="G15" s="2">
        <f ca="1">SUMIF(June!B14:B77,'Monthy closing stock'!A15,June!E14:E16)</f>
        <v>204</v>
      </c>
    </row>
    <row r="16" spans="1:7" x14ac:dyDescent="0.25">
      <c r="A16" s="2" t="str">
        <v>Adhesive Tape</v>
      </c>
      <c r="B16" s="2">
        <f ca="1">SUMIF(January!B15:B78,'Monthy closing stock'!A16,January!E15:E17)</f>
        <v>92</v>
      </c>
      <c r="C16" s="2">
        <f ca="1">SUMIF(February!B15:B78,'Monthy closing stock'!A16,February!E15:E17)</f>
        <v>121</v>
      </c>
      <c r="D16" s="2">
        <f ca="1">SUMIF(March!B15:B78,'Monthy closing stock'!A16,March!E15:E17)</f>
        <v>135</v>
      </c>
      <c r="E16" s="2">
        <f ca="1">SUMIF(April!B15:B78,'Monthy closing stock'!A16,April!E15:E17)</f>
        <v>144</v>
      </c>
      <c r="F16" s="2">
        <f ca="1">SUMIF(May!B15:B78,'Monthy closing stock'!A16,May!E15:E17)</f>
        <v>167</v>
      </c>
      <c r="G16" s="2">
        <f ca="1">SUMIF(June!B15:B78,'Monthy closing stock'!A16,June!E15:E17)</f>
        <v>179</v>
      </c>
    </row>
    <row r="17" spans="1:7" x14ac:dyDescent="0.25">
      <c r="A17" s="2" t="str">
        <v>Markers</v>
      </c>
      <c r="B17" s="2">
        <f ca="1">SUMIF(January!B16:B79,'Monthy closing stock'!A17,January!E16:E18)</f>
        <v>119</v>
      </c>
      <c r="C17" s="2">
        <f ca="1">SUMIF(February!B16:B79,'Monthy closing stock'!A17,February!E16:E18)</f>
        <v>139</v>
      </c>
      <c r="D17" s="2">
        <f ca="1">SUMIF(March!B16:B79,'Monthy closing stock'!A17,March!E16:E18)</f>
        <v>160</v>
      </c>
      <c r="E17" s="2">
        <f ca="1">SUMIF(April!B16:B79,'Monthy closing stock'!A17,April!E16:E18)</f>
        <v>184</v>
      </c>
      <c r="F17" s="2">
        <f ca="1">SUMIF(May!B16:B79,'Monthy closing stock'!A17,May!E16:E18)</f>
        <v>253</v>
      </c>
      <c r="G17" s="2">
        <f ca="1">SUMIF(June!B16:B79,'Monthy closing stock'!A17,June!E16:E18)</f>
        <v>289</v>
      </c>
    </row>
    <row r="18" spans="1:7" x14ac:dyDescent="0.25">
      <c r="A18" s="2" t="str">
        <v>Water Colors and Oil paints</v>
      </c>
      <c r="B18" s="2">
        <f ca="1">SUMIF(January!B17:B80,'Monthy closing stock'!A18,January!E17:E19)</f>
        <v>131</v>
      </c>
      <c r="C18" s="2">
        <f ca="1">SUMIF(February!B17:B80,'Monthy closing stock'!A18,February!E17:E19)</f>
        <v>193</v>
      </c>
      <c r="D18" s="2">
        <f ca="1">SUMIF(March!B17:B80,'Monthy closing stock'!A18,March!E17:E19)</f>
        <v>209</v>
      </c>
      <c r="E18" s="2">
        <f ca="1">SUMIF(April!B17:B80,'Monthy closing stock'!A18,April!E17:E19)</f>
        <v>252</v>
      </c>
      <c r="F18" s="2">
        <f ca="1">SUMIF(May!B17:B80,'Monthy closing stock'!A18,May!E17:E19)</f>
        <v>307</v>
      </c>
      <c r="G18" s="2">
        <f ca="1">SUMIF(June!B17:B80,'Monthy closing stock'!A18,June!E17:E19)</f>
        <v>309</v>
      </c>
    </row>
    <row r="19" spans="1:7" x14ac:dyDescent="0.25">
      <c r="A19" s="2" t="str">
        <v>Notebook Cover</v>
      </c>
      <c r="B19" s="2">
        <f ca="1">SUMIF(January!B18:B81,'Monthy closing stock'!A19,January!E18:E20)</f>
        <v>100</v>
      </c>
      <c r="C19" s="2">
        <f ca="1">SUMIF(February!B18:B81,'Monthy closing stock'!A19,February!E18:E20)</f>
        <v>159</v>
      </c>
      <c r="D19" s="2">
        <f ca="1">SUMIF(March!B18:B81,'Monthy closing stock'!A19,March!E18:E20)</f>
        <v>179</v>
      </c>
      <c r="E19" s="2">
        <f ca="1">SUMIF(April!B18:B81,'Monthy closing stock'!A19,April!E18:E20)</f>
        <v>186</v>
      </c>
      <c r="F19" s="2">
        <f ca="1">SUMIF(May!B18:B81,'Monthy closing stock'!A19,May!E18:E20)</f>
        <v>233</v>
      </c>
      <c r="G19" s="2">
        <f ca="1">SUMIF(June!B18:B81,'Monthy closing stock'!A19,June!E18:E20)</f>
        <v>216</v>
      </c>
    </row>
    <row r="20" spans="1:7" x14ac:dyDescent="0.25">
      <c r="A20" s="2" t="str">
        <v>A4 Sheets</v>
      </c>
      <c r="B20" s="2">
        <f ca="1">SUMIF(January!B19:B82,'Monthy closing stock'!A20,January!E19:E21)</f>
        <v>130</v>
      </c>
      <c r="C20" s="2">
        <f ca="1">SUMIF(February!B19:B82,'Monthy closing stock'!A20,February!E19:E21)</f>
        <v>163</v>
      </c>
      <c r="D20" s="2">
        <f ca="1">SUMIF(March!B19:B82,'Monthy closing stock'!A20,March!E19:E21)</f>
        <v>171</v>
      </c>
      <c r="E20" s="2">
        <f ca="1">SUMIF(April!B19:B82,'Monthy closing stock'!A20,April!E19:E21)</f>
        <v>187</v>
      </c>
      <c r="F20" s="2">
        <f ca="1">SUMIF(May!B19:B82,'Monthy closing stock'!A20,May!E19:E21)</f>
        <v>184</v>
      </c>
      <c r="G20" s="2">
        <f ca="1">SUMIF(June!B19:B82,'Monthy closing stock'!A20,June!E19:E21)</f>
        <v>170</v>
      </c>
    </row>
    <row r="24" spans="1:7" x14ac:dyDescent="0.25">
      <c r="A24" s="2" t="s">
        <v>18</v>
      </c>
      <c r="B24" s="2" t="s">
        <v>123</v>
      </c>
      <c r="C24" s="2" t="s">
        <v>124</v>
      </c>
      <c r="D24" s="2" t="s">
        <v>94</v>
      </c>
      <c r="E24" s="2" t="s">
        <v>95</v>
      </c>
      <c r="F24" s="2" t="s">
        <v>96</v>
      </c>
      <c r="G24" s="2" t="s">
        <v>97</v>
      </c>
    </row>
    <row r="25" spans="1:7" x14ac:dyDescent="0.25">
      <c r="A25" s="2" t="s">
        <v>38</v>
      </c>
      <c r="B25" s="2">
        <v>148</v>
      </c>
      <c r="C25" s="2">
        <v>175</v>
      </c>
      <c r="D25" s="2">
        <v>176</v>
      </c>
      <c r="E25" s="2">
        <v>204</v>
      </c>
      <c r="F25" s="2">
        <v>272</v>
      </c>
      <c r="G25" s="2">
        <v>265</v>
      </c>
    </row>
    <row r="26" spans="1:7" x14ac:dyDescent="0.25">
      <c r="A26" s="2" t="s">
        <v>40</v>
      </c>
      <c r="B26" s="2">
        <v>307</v>
      </c>
      <c r="C26" s="2">
        <v>310</v>
      </c>
      <c r="D26" s="2">
        <v>334</v>
      </c>
      <c r="E26" s="2">
        <v>349</v>
      </c>
      <c r="F26" s="2">
        <v>457</v>
      </c>
      <c r="G26" s="2">
        <v>465</v>
      </c>
    </row>
    <row r="27" spans="1:7" x14ac:dyDescent="0.25">
      <c r="A27" s="2" t="s">
        <v>19</v>
      </c>
      <c r="B27" s="2">
        <v>139</v>
      </c>
      <c r="C27" s="2">
        <v>138</v>
      </c>
      <c r="D27" s="2">
        <v>146</v>
      </c>
      <c r="E27" s="2">
        <v>155</v>
      </c>
      <c r="F27" s="2">
        <v>196</v>
      </c>
      <c r="G27" s="2">
        <v>219</v>
      </c>
    </row>
    <row r="28" spans="1:7" x14ac:dyDescent="0.25">
      <c r="A28" s="2" t="s">
        <v>32</v>
      </c>
      <c r="B28" s="2">
        <v>159</v>
      </c>
      <c r="C28" s="2">
        <v>175</v>
      </c>
      <c r="D28" s="2">
        <v>195</v>
      </c>
      <c r="E28" s="2">
        <v>196</v>
      </c>
      <c r="F28" s="2">
        <v>246</v>
      </c>
      <c r="G28" s="2">
        <v>263</v>
      </c>
    </row>
    <row r="29" spans="1:7" x14ac:dyDescent="0.25">
      <c r="A29" s="2" t="s">
        <v>57</v>
      </c>
      <c r="B29" s="2">
        <v>175</v>
      </c>
      <c r="C29" s="2">
        <v>152</v>
      </c>
      <c r="D29" s="2">
        <v>164</v>
      </c>
      <c r="E29" s="2">
        <v>180</v>
      </c>
      <c r="F29" s="2">
        <v>212</v>
      </c>
      <c r="G29" s="2">
        <v>231</v>
      </c>
    </row>
    <row r="30" spans="1:7" x14ac:dyDescent="0.25">
      <c r="A30" s="2" t="s">
        <v>17</v>
      </c>
      <c r="B30" s="2">
        <v>119</v>
      </c>
      <c r="C30" s="2">
        <v>139</v>
      </c>
      <c r="D30" s="2">
        <v>160</v>
      </c>
      <c r="E30" s="2">
        <v>184</v>
      </c>
      <c r="F30" s="2">
        <v>253</v>
      </c>
      <c r="G30" s="2">
        <v>289</v>
      </c>
    </row>
    <row r="31" spans="1:7" x14ac:dyDescent="0.25">
      <c r="A31" s="2"/>
      <c r="B31" s="2"/>
      <c r="C31" s="2"/>
      <c r="D31" s="2"/>
      <c r="E31" s="2"/>
      <c r="F31" s="2"/>
      <c r="G31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B744-67D0-499E-A2C7-B370605FBCCD}">
  <dimension ref="A1:O43"/>
  <sheetViews>
    <sheetView topLeftCell="A11" workbookViewId="0">
      <selection activeCell="U21" sqref="U21"/>
    </sheetView>
  </sheetViews>
  <sheetFormatPr defaultRowHeight="15" x14ac:dyDescent="0.25"/>
  <cols>
    <col min="1" max="1" width="29.5703125" customWidth="1"/>
    <col min="9" max="9" width="20.5703125" customWidth="1"/>
  </cols>
  <sheetData>
    <row r="1" spans="1:7" x14ac:dyDescent="0.25">
      <c r="A1" s="13" t="s">
        <v>144</v>
      </c>
    </row>
    <row r="2" spans="1:7" x14ac:dyDescent="0.25">
      <c r="A2" s="2" t="s">
        <v>18</v>
      </c>
      <c r="B2" s="2" t="s">
        <v>123</v>
      </c>
      <c r="C2" s="2" t="s">
        <v>124</v>
      </c>
      <c r="D2" s="2" t="s">
        <v>94</v>
      </c>
      <c r="E2" s="2" t="s">
        <v>95</v>
      </c>
      <c r="F2" s="2" t="s">
        <v>96</v>
      </c>
      <c r="G2" s="2" t="s">
        <v>97</v>
      </c>
    </row>
    <row r="3" spans="1:7" x14ac:dyDescent="0.25">
      <c r="A3" s="2" t="str" cm="1">
        <f t="array" ref="A3:A20">_xlfn.UNIQUE(January!B2:B65)</f>
        <v>Spiral Notebook</v>
      </c>
      <c r="B3" s="2">
        <f ca="1">SUMIF(January!B2:B65,'Cummulative sales'!A3,January!F2:F4)</f>
        <v>48</v>
      </c>
      <c r="C3" s="2">
        <f ca="1">SUMIF(February!B2:B65,'Cummulative sales'!A3,February!F2:F4)</f>
        <v>31</v>
      </c>
      <c r="D3" s="2">
        <f ca="1">SUMIF(March!B2:B65,'Cummulative sales'!A3,March!F2:F4)</f>
        <v>58</v>
      </c>
      <c r="E3" s="2">
        <f ca="1">SUMIF(April!B2:B65,'Cummulative sales'!A3,April!F2:F4)</f>
        <v>131</v>
      </c>
      <c r="F3" s="2">
        <f ca="1">SUMIF(May!B2:B65,'Cummulative sales'!A3,May!F2:F4)</f>
        <v>72</v>
      </c>
      <c r="G3" s="2">
        <f ca="1">SUMIF(June!B2:B65,'Cummulative sales'!A3,June!F2:F4)</f>
        <v>163</v>
      </c>
    </row>
    <row r="4" spans="1:7" x14ac:dyDescent="0.25">
      <c r="A4" s="2" t="str">
        <v>Ruled Notebook</v>
      </c>
      <c r="B4" s="2">
        <f ca="1">SUMIF(January!B3:B66,'Cummulative sales'!A4,January!F3:F5)</f>
        <v>63</v>
      </c>
      <c r="C4" s="2">
        <f ca="1">SUMIF(February!B3:B66,'Cummulative sales'!A4,February!F3:F5)</f>
        <v>47</v>
      </c>
      <c r="D4" s="2">
        <f ca="1">SUMIF(March!B3:B66,'Cummulative sales'!A4,March!F3:F5)</f>
        <v>78</v>
      </c>
      <c r="E4" s="2">
        <f ca="1">SUMIF(April!B3:B66,'Cummulative sales'!A4,April!F3:F5)</f>
        <v>189</v>
      </c>
      <c r="F4" s="2">
        <f ca="1">SUMIF(May!B3:B66,'Cummulative sales'!A4,May!F3:F5)</f>
        <v>97</v>
      </c>
      <c r="G4" s="2">
        <f ca="1">SUMIF(June!B3:B66,'Cummulative sales'!A4,June!F3:F5)</f>
        <v>231</v>
      </c>
    </row>
    <row r="5" spans="1:7" x14ac:dyDescent="0.25">
      <c r="A5" s="2" t="str">
        <v>Unruled Notebook</v>
      </c>
      <c r="B5" s="2">
        <f ca="1">SUMIF(January!B4:B67,'Cummulative sales'!A5,January!F4:F6)</f>
        <v>26</v>
      </c>
      <c r="C5" s="2">
        <f ca="1">SUMIF(February!B4:B67,'Cummulative sales'!A5,February!F4:F6)</f>
        <v>13</v>
      </c>
      <c r="D5" s="2">
        <f ca="1">SUMIF(March!B4:B67,'Cummulative sales'!A5,March!F4:F6)</f>
        <v>23</v>
      </c>
      <c r="E5" s="2">
        <f ca="1">SUMIF(April!B4:B67,'Cummulative sales'!A5,April!F4:F6)</f>
        <v>65</v>
      </c>
      <c r="F5" s="2">
        <f ca="1">SUMIF(May!B4:B67,'Cummulative sales'!A5,May!F4:F6)</f>
        <v>36</v>
      </c>
      <c r="G5" s="2">
        <f ca="1">SUMIF(June!B4:B67,'Cummulative sales'!A5,June!F4:F6)</f>
        <v>86</v>
      </c>
    </row>
    <row r="6" spans="1:7" x14ac:dyDescent="0.25">
      <c r="A6" s="2" t="str">
        <v>Register</v>
      </c>
      <c r="B6" s="2">
        <f ca="1">SUMIF(January!B5:B68,'Cummulative sales'!A6,January!F5:F7)</f>
        <v>31</v>
      </c>
      <c r="C6" s="2">
        <f ca="1">SUMIF(February!B5:B68,'Cummulative sales'!A6,February!F5:F7)</f>
        <v>23</v>
      </c>
      <c r="D6" s="2">
        <f ca="1">SUMIF(March!B5:B68,'Cummulative sales'!A6,March!F5:F7)</f>
        <v>46</v>
      </c>
      <c r="E6" s="2">
        <f ca="1">SUMIF(April!B5:B68,'Cummulative sales'!A6,April!F5:F7)</f>
        <v>103</v>
      </c>
      <c r="F6" s="2">
        <f ca="1">SUMIF(May!B5:B68,'Cummulative sales'!A6,May!F5:F7)</f>
        <v>56</v>
      </c>
      <c r="G6" s="2">
        <f ca="1">SUMIF(June!B5:B68,'Cummulative sales'!A6,June!F5:F7)</f>
        <v>154</v>
      </c>
    </row>
    <row r="7" spans="1:7" x14ac:dyDescent="0.25">
      <c r="A7" s="2" t="str">
        <v>Pencils</v>
      </c>
      <c r="B7" s="2">
        <f ca="1">SUMIF(January!B6:B69,'Cummulative sales'!A7,January!F6:F8)</f>
        <v>121</v>
      </c>
      <c r="C7" s="2">
        <f ca="1">SUMIF(February!B6:B69,'Cummulative sales'!A7,February!F6:F8)</f>
        <v>84</v>
      </c>
      <c r="D7" s="2">
        <f ca="1">SUMIF(March!B6:B69,'Cummulative sales'!A7,March!F6:F8)</f>
        <v>106</v>
      </c>
      <c r="E7" s="2">
        <f ca="1">SUMIF(April!B6:B69,'Cummulative sales'!A7,April!F6:F8)</f>
        <v>154</v>
      </c>
      <c r="F7" s="2">
        <f ca="1">SUMIF(May!B6:B69,'Cummulative sales'!A7,May!F6:F8)</f>
        <v>103</v>
      </c>
      <c r="G7" s="2">
        <f ca="1">SUMIF(June!B6:B69,'Cummulative sales'!A7,June!F6:F8)</f>
        <v>176</v>
      </c>
    </row>
    <row r="8" spans="1:7" x14ac:dyDescent="0.25">
      <c r="A8" s="2" t="str">
        <v>Pens</v>
      </c>
      <c r="B8" s="2">
        <f ca="1">SUMIF(January!B7:B70,'Cummulative sales'!A8,January!F7:F9)</f>
        <v>215</v>
      </c>
      <c r="C8" s="2">
        <f ca="1">SUMIF(February!B7:B70,'Cummulative sales'!A8,February!F7:F9)</f>
        <v>168</v>
      </c>
      <c r="D8" s="2">
        <f ca="1">SUMIF(March!B7:B70,'Cummulative sales'!A8,March!F7:F9)</f>
        <v>168</v>
      </c>
      <c r="E8" s="2">
        <f ca="1">SUMIF(April!B7:B70,'Cummulative sales'!A8,April!F7:F9)</f>
        <v>250</v>
      </c>
      <c r="F8" s="2">
        <f ca="1">SUMIF(May!B7:B70,'Cummulative sales'!A8,May!F7:F9)</f>
        <v>208</v>
      </c>
      <c r="G8" s="2">
        <f ca="1">SUMIF(June!B7:B70,'Cummulative sales'!A8,June!F7:F9)</f>
        <v>304</v>
      </c>
    </row>
    <row r="9" spans="1:7" x14ac:dyDescent="0.25">
      <c r="A9" s="2" t="str">
        <v>Geometry Box</v>
      </c>
      <c r="B9" s="2">
        <f ca="1">SUMIF(January!B8:B71,'Cummulative sales'!A9,January!F8:F10)</f>
        <v>16</v>
      </c>
      <c r="C9" s="2">
        <f ca="1">SUMIF(February!B8:B71,'Cummulative sales'!A9,February!F8:F10)</f>
        <v>8</v>
      </c>
      <c r="D9" s="2">
        <f ca="1">SUMIF(March!B8:B71,'Cummulative sales'!A9,March!F8:F10)</f>
        <v>19</v>
      </c>
      <c r="E9" s="2">
        <f ca="1">SUMIF(April!B8:B71,'Cummulative sales'!A9,April!F8:F10)</f>
        <v>42</v>
      </c>
      <c r="F9" s="2">
        <f ca="1">SUMIF(May!B8:B71,'Cummulative sales'!A9,May!F8:F10)</f>
        <v>32</v>
      </c>
      <c r="G9" s="2">
        <f ca="1">SUMIF(June!B8:B71,'Cummulative sales'!A9,June!F8:F10)</f>
        <v>48</v>
      </c>
    </row>
    <row r="10" spans="1:7" x14ac:dyDescent="0.25">
      <c r="A10" s="2" t="str">
        <v>Chart Paper</v>
      </c>
      <c r="B10" s="2">
        <f ca="1">SUMIF(January!B9:B72,'Cummulative sales'!A10,January!F9:F11)</f>
        <v>24</v>
      </c>
      <c r="C10" s="2">
        <f ca="1">SUMIF(February!B9:B72,'Cummulative sales'!A10,February!F9:F11)</f>
        <v>23</v>
      </c>
      <c r="D10" s="2">
        <f ca="1">SUMIF(March!B9:B72,'Cummulative sales'!A10,March!F9:F11)</f>
        <v>29</v>
      </c>
      <c r="E10" s="2">
        <f ca="1">SUMIF(April!B9:B72,'Cummulative sales'!A10,April!F9:F11)</f>
        <v>41</v>
      </c>
      <c r="F10" s="2">
        <f ca="1">SUMIF(May!B9:B72,'Cummulative sales'!A10,May!F9:F11)</f>
        <v>58</v>
      </c>
      <c r="G10" s="2">
        <f ca="1">SUMIF(June!B9:B72,'Cummulative sales'!A10,June!F9:F11)</f>
        <v>91</v>
      </c>
    </row>
    <row r="11" spans="1:7" x14ac:dyDescent="0.25">
      <c r="A11" s="2" t="str">
        <v>Adhesive</v>
      </c>
      <c r="B11" s="2">
        <f ca="1">SUMIF(January!B10:B73,'Cummulative sales'!A11,January!F10:F12)</f>
        <v>80</v>
      </c>
      <c r="C11" s="2">
        <f ca="1">SUMIF(February!B10:B73,'Cummulative sales'!A11,February!F10:F12)</f>
        <v>61</v>
      </c>
      <c r="D11" s="2">
        <f ca="1">SUMIF(March!B10:B73,'Cummulative sales'!A11,March!F10:F12)</f>
        <v>66</v>
      </c>
      <c r="E11" s="2">
        <f ca="1">SUMIF(April!B10:B73,'Cummulative sales'!A11,April!F10:F12)</f>
        <v>93</v>
      </c>
      <c r="F11" s="2">
        <f ca="1">SUMIF(May!B10:B73,'Cummulative sales'!A11,May!F10:F12)</f>
        <v>87</v>
      </c>
      <c r="G11" s="2">
        <f ca="1">SUMIF(June!B10:B73,'Cummulative sales'!A11,June!F10:F12)</f>
        <v>122</v>
      </c>
    </row>
    <row r="12" spans="1:7" x14ac:dyDescent="0.25">
      <c r="A12" s="2" t="str">
        <v>Color Pencils</v>
      </c>
      <c r="B12" s="2">
        <f ca="1">SUMIF(January!B11:B74,'Cummulative sales'!A12,January!F11:F13)</f>
        <v>50</v>
      </c>
      <c r="C12" s="2">
        <f ca="1">SUMIF(February!B11:B74,'Cummulative sales'!A12,February!F11:F13)</f>
        <v>35</v>
      </c>
      <c r="D12" s="2">
        <f ca="1">SUMIF(March!B11:B74,'Cummulative sales'!A12,March!F11:F13)</f>
        <v>58</v>
      </c>
      <c r="E12" s="2">
        <f ca="1">SUMIF(April!B11:B74,'Cummulative sales'!A12,April!F11:F13)</f>
        <v>89</v>
      </c>
      <c r="F12" s="2">
        <f ca="1">SUMIF(May!B11:B74,'Cummulative sales'!A12,May!F11:F13)</f>
        <v>82</v>
      </c>
      <c r="G12" s="2">
        <f ca="1">SUMIF(June!B11:B74,'Cummulative sales'!A12,June!F11:F13)</f>
        <v>102</v>
      </c>
    </row>
    <row r="13" spans="1:7" x14ac:dyDescent="0.25">
      <c r="A13" s="2" t="str">
        <v>Project File</v>
      </c>
      <c r="B13" s="2">
        <f ca="1">SUMIF(January!B12:B75,'Cummulative sales'!A13,January!F12:F14)</f>
        <v>30</v>
      </c>
      <c r="C13" s="2">
        <f ca="1">SUMIF(February!B12:B75,'Cummulative sales'!A13,February!F12:F14)</f>
        <v>22</v>
      </c>
      <c r="D13" s="2">
        <f ca="1">SUMIF(March!B12:B75,'Cummulative sales'!A13,March!F12:F14)</f>
        <v>26</v>
      </c>
      <c r="E13" s="2">
        <f ca="1">SUMIF(April!B12:B75,'Cummulative sales'!A13,April!F12:F14)</f>
        <v>42</v>
      </c>
      <c r="F13" s="2">
        <f ca="1">SUMIF(May!B12:B75,'Cummulative sales'!A13,May!F12:F14)</f>
        <v>57</v>
      </c>
      <c r="G13" s="2">
        <f ca="1">SUMIF(June!B12:B75,'Cummulative sales'!A13,June!F12:F14)</f>
        <v>51</v>
      </c>
    </row>
    <row r="14" spans="1:7" x14ac:dyDescent="0.25">
      <c r="A14" s="2" t="str">
        <v>Stapler</v>
      </c>
      <c r="B14" s="2">
        <f ca="1">SUMIF(January!B13:B76,'Cummulative sales'!A14,January!F13:F15)</f>
        <v>30</v>
      </c>
      <c r="C14" s="2">
        <f ca="1">SUMIF(February!B13:B76,'Cummulative sales'!A14,February!F13:F15)</f>
        <v>19</v>
      </c>
      <c r="D14" s="2">
        <f ca="1">SUMIF(March!B13:B76,'Cummulative sales'!A14,March!F13:F15)</f>
        <v>29</v>
      </c>
      <c r="E14" s="2">
        <f ca="1">SUMIF(April!B13:B76,'Cummulative sales'!A14,April!F13:F15)</f>
        <v>35</v>
      </c>
      <c r="F14" s="2">
        <f ca="1">SUMIF(May!B13:B76,'Cummulative sales'!A14,May!F13:F15)</f>
        <v>36</v>
      </c>
      <c r="G14" s="2">
        <f ca="1">SUMIF(June!B13:B76,'Cummulative sales'!A14,June!F13:F15)</f>
        <v>59</v>
      </c>
    </row>
    <row r="15" spans="1:7" x14ac:dyDescent="0.25">
      <c r="A15" s="2" t="str">
        <v>Drawing Book</v>
      </c>
      <c r="B15" s="2">
        <f ca="1">SUMIF(January!B14:B77,'Cummulative sales'!A15,January!F14:F16)</f>
        <v>26</v>
      </c>
      <c r="C15" s="2">
        <f ca="1">SUMIF(February!B14:B77,'Cummulative sales'!A15,February!F14:F16)</f>
        <v>15</v>
      </c>
      <c r="D15" s="2">
        <f ca="1">SUMIF(March!B14:B77,'Cummulative sales'!A15,March!F14:F16)</f>
        <v>28</v>
      </c>
      <c r="E15" s="2">
        <f ca="1">SUMIF(April!B14:B77,'Cummulative sales'!A15,April!F14:F16)</f>
        <v>47</v>
      </c>
      <c r="F15" s="2">
        <f ca="1">SUMIF(May!B14:B77,'Cummulative sales'!A15,May!F14:F16)</f>
        <v>36</v>
      </c>
      <c r="G15" s="2">
        <f ca="1">SUMIF(June!B14:B77,'Cummulative sales'!A15,June!F14:F16)</f>
        <v>59</v>
      </c>
    </row>
    <row r="16" spans="1:7" x14ac:dyDescent="0.25">
      <c r="A16" s="2" t="str">
        <v>Adhesive Tape</v>
      </c>
      <c r="B16" s="2">
        <f ca="1">SUMIF(January!B15:B78,'Cummulative sales'!A16,January!F15:F17)</f>
        <v>34</v>
      </c>
      <c r="C16" s="2">
        <f ca="1">SUMIF(February!B15:B78,'Cummulative sales'!A16,February!F15:F17)</f>
        <v>27</v>
      </c>
      <c r="D16" s="2">
        <f ca="1">SUMIF(March!B15:B78,'Cummulative sales'!A16,March!F15:F17)</f>
        <v>33</v>
      </c>
      <c r="E16" s="2">
        <f ca="1">SUMIF(April!B15:B78,'Cummulative sales'!A16,April!F15:F17)</f>
        <v>55</v>
      </c>
      <c r="F16" s="2">
        <f ca="1">SUMIF(May!B15:B78,'Cummulative sales'!A16,May!F15:F17)</f>
        <v>57</v>
      </c>
      <c r="G16" s="2">
        <f ca="1">SUMIF(June!B15:B78,'Cummulative sales'!A16,June!F15:F17)</f>
        <v>86</v>
      </c>
    </row>
    <row r="17" spans="1:15" x14ac:dyDescent="0.25">
      <c r="A17" s="2" t="str">
        <v>Markers</v>
      </c>
      <c r="B17" s="2">
        <f ca="1">SUMIF(January!B16:B79,'Cummulative sales'!A17,January!F16:F18)</f>
        <v>59</v>
      </c>
      <c r="C17" s="2">
        <f ca="1">SUMIF(February!B16:B79,'Cummulative sales'!A17,February!F16:F18)</f>
        <v>42</v>
      </c>
      <c r="D17" s="2">
        <f ca="1">SUMIF(March!B16:B79,'Cummulative sales'!A17,March!F16:F18)</f>
        <v>52</v>
      </c>
      <c r="E17" s="2">
        <f ca="1">SUMIF(April!B16:B79,'Cummulative sales'!A17,April!F16:F18)</f>
        <v>88</v>
      </c>
      <c r="F17" s="2">
        <f ca="1">SUMIF(May!B16:B79,'Cummulative sales'!A17,May!F16:F18)</f>
        <v>72</v>
      </c>
      <c r="G17" s="2">
        <f ca="1">SUMIF(June!B16:B79,'Cummulative sales'!A17,June!F16:F18)</f>
        <v>102</v>
      </c>
    </row>
    <row r="18" spans="1:15" x14ac:dyDescent="0.25">
      <c r="A18" s="2" t="str">
        <v>Water Colors and Oil paints</v>
      </c>
      <c r="B18" s="2">
        <f ca="1">SUMIF(January!B17:B80,'Cummulative sales'!A18,January!F17:F19)</f>
        <v>52</v>
      </c>
      <c r="C18" s="2">
        <f ca="1">SUMIF(February!B17:B80,'Cummulative sales'!A18,February!F17:F19)</f>
        <v>27</v>
      </c>
      <c r="D18" s="2">
        <f ca="1">SUMIF(March!B17:B80,'Cummulative sales'!A18,March!F17:F19)</f>
        <v>52</v>
      </c>
      <c r="E18" s="2">
        <f ca="1">SUMIF(April!B17:B80,'Cummulative sales'!A18,April!F17:F19)</f>
        <v>90</v>
      </c>
      <c r="F18" s="2">
        <f ca="1">SUMIF(May!B17:B80,'Cummulative sales'!A18,May!F17:F19)</f>
        <v>68</v>
      </c>
      <c r="G18" s="2">
        <f ca="1">SUMIF(June!B17:B80,'Cummulative sales'!A18,June!F17:F19)</f>
        <v>132</v>
      </c>
    </row>
    <row r="19" spans="1:15" x14ac:dyDescent="0.25">
      <c r="A19" s="2" t="str">
        <v>Notebook Cover</v>
      </c>
      <c r="B19" s="2">
        <f ca="1">SUMIF(January!B18:B81,'Cummulative sales'!A19,January!F18:F20)</f>
        <v>39</v>
      </c>
      <c r="C19" s="2">
        <f ca="1">SUMIF(February!B18:B81,'Cummulative sales'!A19,February!F18:F20)</f>
        <v>22</v>
      </c>
      <c r="D19" s="2">
        <f ca="1">SUMIF(March!B18:B81,'Cummulative sales'!A19,March!F18:F20)</f>
        <v>46</v>
      </c>
      <c r="E19" s="2">
        <f ca="1">SUMIF(April!B18:B81,'Cummulative sales'!A19,April!F18:F20)</f>
        <v>65</v>
      </c>
      <c r="F19" s="2">
        <f ca="1">SUMIF(May!B18:B81,'Cummulative sales'!A19,May!F18:F20)</f>
        <v>48</v>
      </c>
      <c r="G19" s="2">
        <f ca="1">SUMIF(June!B18:B81,'Cummulative sales'!A19,June!F18:F20)</f>
        <v>106</v>
      </c>
    </row>
    <row r="20" spans="1:15" x14ac:dyDescent="0.25">
      <c r="A20" s="2" t="str">
        <v>A4 Sheets</v>
      </c>
      <c r="B20" s="2">
        <f ca="1">SUMIF(January!B19:B82,'Cummulative sales'!A20,January!F19:F21)</f>
        <v>54</v>
      </c>
      <c r="C20" s="2">
        <f ca="1">SUMIF(February!B19:B82,'Cummulative sales'!A20,February!F19:F21)</f>
        <v>41</v>
      </c>
      <c r="D20" s="2">
        <f ca="1">SUMIF(March!B19:B82,'Cummulative sales'!A20,March!F19:F21)</f>
        <v>55</v>
      </c>
      <c r="E20" s="2">
        <f ca="1">SUMIF(April!B19:B82,'Cummulative sales'!A20,April!F19:F21)</f>
        <v>72</v>
      </c>
      <c r="F20" s="2">
        <f ca="1">SUMIF(May!B19:B82,'Cummulative sales'!A20,May!F19:F21)</f>
        <v>93</v>
      </c>
      <c r="G20" s="2">
        <f ca="1">SUMIF(June!B19:B82,'Cummulative sales'!A20,June!F19:F21)</f>
        <v>129</v>
      </c>
    </row>
    <row r="24" spans="1:15" x14ac:dyDescent="0.25">
      <c r="A24" s="13" t="s">
        <v>145</v>
      </c>
    </row>
    <row r="25" spans="1:15" x14ac:dyDescent="0.25">
      <c r="A25" s="17" t="s">
        <v>18</v>
      </c>
      <c r="B25" s="2" t="s">
        <v>123</v>
      </c>
      <c r="C25" s="2" t="s">
        <v>124</v>
      </c>
      <c r="D25" s="2" t="s">
        <v>94</v>
      </c>
      <c r="E25" s="2" t="s">
        <v>95</v>
      </c>
      <c r="F25" s="2" t="s">
        <v>96</v>
      </c>
      <c r="G25" s="2" t="s">
        <v>97</v>
      </c>
      <c r="I25" s="38" t="s">
        <v>18</v>
      </c>
      <c r="J25" s="38" t="s">
        <v>123</v>
      </c>
      <c r="K25" s="38" t="s">
        <v>124</v>
      </c>
      <c r="L25" s="38" t="s">
        <v>94</v>
      </c>
      <c r="M25" s="38" t="s">
        <v>95</v>
      </c>
      <c r="N25" s="38" t="s">
        <v>96</v>
      </c>
      <c r="O25" s="38" t="s">
        <v>97</v>
      </c>
    </row>
    <row r="26" spans="1:15" x14ac:dyDescent="0.25">
      <c r="A26" s="2" t="str" cm="1">
        <f t="array" ref="A26:A43">_xlfn.UNIQUE(January!B2:B65)</f>
        <v>Spiral Notebook</v>
      </c>
      <c r="B26" s="2">
        <v>48</v>
      </c>
      <c r="C26" s="2">
        <f ca="1">B26+C3</f>
        <v>79</v>
      </c>
      <c r="D26" s="2">
        <f ca="1">B26+C26+D3</f>
        <v>185</v>
      </c>
      <c r="E26" s="2">
        <f ca="1">B26+C26+D26+E3</f>
        <v>443</v>
      </c>
      <c r="F26" s="2">
        <f ca="1">B26+C26+D26+E26+F3</f>
        <v>827</v>
      </c>
      <c r="G26" s="2">
        <f ca="1">B26+C26+D26+E26+F26+G3</f>
        <v>1745</v>
      </c>
      <c r="I26" s="39" t="s">
        <v>10</v>
      </c>
      <c r="J26" s="39">
        <v>54</v>
      </c>
      <c r="K26" s="39">
        <v>95</v>
      </c>
      <c r="L26" s="39">
        <v>150</v>
      </c>
      <c r="M26" s="39">
        <v>222</v>
      </c>
      <c r="N26" s="39">
        <v>315</v>
      </c>
      <c r="O26" s="39">
        <v>444</v>
      </c>
    </row>
    <row r="27" spans="1:15" x14ac:dyDescent="0.25">
      <c r="A27" s="2" t="str">
        <v>Ruled Notebook</v>
      </c>
      <c r="B27" s="2">
        <v>63</v>
      </c>
      <c r="C27" s="2">
        <f t="shared" ref="C27:C43" ca="1" si="0">B27+C4</f>
        <v>110</v>
      </c>
      <c r="D27" s="2">
        <f t="shared" ref="D27:D43" ca="1" si="1">B27+C27+D4</f>
        <v>251</v>
      </c>
      <c r="E27" s="2">
        <f t="shared" ref="E27:E43" ca="1" si="2">B27+C27+D27+E4</f>
        <v>613</v>
      </c>
      <c r="F27" s="2">
        <f t="shared" ref="F27:F43" ca="1" si="3">B27+C27+D27+E27+F4</f>
        <v>1134</v>
      </c>
      <c r="G27" s="2">
        <f t="shared" ref="G27:G43" ca="1" si="4">B27+C27+D27+E27+F27+G4</f>
        <v>2402</v>
      </c>
      <c r="I27" s="39" t="s">
        <v>57</v>
      </c>
      <c r="J27" s="39">
        <v>80</v>
      </c>
      <c r="K27" s="39">
        <v>141</v>
      </c>
      <c r="L27" s="39">
        <v>207</v>
      </c>
      <c r="M27" s="39">
        <v>300</v>
      </c>
      <c r="N27" s="39">
        <v>387</v>
      </c>
      <c r="O27" s="39">
        <v>509</v>
      </c>
    </row>
    <row r="28" spans="1:15" x14ac:dyDescent="0.25">
      <c r="A28" s="2" t="str">
        <v>Unruled Notebook</v>
      </c>
      <c r="B28" s="2">
        <v>26</v>
      </c>
      <c r="C28" s="2">
        <f t="shared" ca="1" si="0"/>
        <v>39</v>
      </c>
      <c r="D28" s="2">
        <f t="shared" ca="1" si="1"/>
        <v>88</v>
      </c>
      <c r="E28" s="2">
        <f t="shared" ca="1" si="2"/>
        <v>218</v>
      </c>
      <c r="F28" s="2">
        <f t="shared" ca="1" si="3"/>
        <v>407</v>
      </c>
      <c r="G28" s="2">
        <f t="shared" ca="1" si="4"/>
        <v>864</v>
      </c>
      <c r="I28" s="39" t="s">
        <v>81</v>
      </c>
      <c r="J28" s="39">
        <v>34</v>
      </c>
      <c r="K28" s="39">
        <v>61</v>
      </c>
      <c r="L28" s="39">
        <v>94</v>
      </c>
      <c r="M28" s="39">
        <v>149</v>
      </c>
      <c r="N28" s="39">
        <v>206</v>
      </c>
      <c r="O28" s="39">
        <v>292</v>
      </c>
    </row>
    <row r="29" spans="1:15" x14ac:dyDescent="0.25">
      <c r="A29" s="2" t="str">
        <v>Register</v>
      </c>
      <c r="B29" s="2">
        <v>31</v>
      </c>
      <c r="C29" s="2">
        <f t="shared" ca="1" si="0"/>
        <v>54</v>
      </c>
      <c r="D29" s="2">
        <f t="shared" ca="1" si="1"/>
        <v>131</v>
      </c>
      <c r="E29" s="2">
        <f t="shared" ca="1" si="2"/>
        <v>319</v>
      </c>
      <c r="F29" s="2">
        <f t="shared" ca="1" si="3"/>
        <v>591</v>
      </c>
      <c r="G29" s="2">
        <f t="shared" ca="1" si="4"/>
        <v>1280</v>
      </c>
      <c r="I29" s="39" t="s">
        <v>12</v>
      </c>
      <c r="J29" s="39">
        <v>24</v>
      </c>
      <c r="K29" s="39">
        <v>47</v>
      </c>
      <c r="L29" s="39">
        <v>76</v>
      </c>
      <c r="M29" s="39">
        <v>117</v>
      </c>
      <c r="N29" s="39">
        <v>175</v>
      </c>
      <c r="O29" s="39">
        <v>266</v>
      </c>
    </row>
    <row r="30" spans="1:15" x14ac:dyDescent="0.25">
      <c r="A30" s="2" t="str">
        <v>Pencils</v>
      </c>
      <c r="B30" s="2">
        <v>121</v>
      </c>
      <c r="C30" s="2">
        <f t="shared" ca="1" si="0"/>
        <v>205</v>
      </c>
      <c r="D30" s="2">
        <f t="shared" ca="1" si="1"/>
        <v>432</v>
      </c>
      <c r="E30" s="2">
        <f t="shared" ca="1" si="2"/>
        <v>912</v>
      </c>
      <c r="F30" s="2">
        <f t="shared" ca="1" si="3"/>
        <v>1773</v>
      </c>
      <c r="G30" s="2">
        <f t="shared" ca="1" si="4"/>
        <v>3619</v>
      </c>
      <c r="I30" s="39" t="s">
        <v>13</v>
      </c>
      <c r="J30" s="39">
        <v>50</v>
      </c>
      <c r="K30" s="39">
        <v>85</v>
      </c>
      <c r="L30" s="39">
        <v>143</v>
      </c>
      <c r="M30" s="39">
        <v>232</v>
      </c>
      <c r="N30" s="39">
        <v>314</v>
      </c>
      <c r="O30" s="39">
        <v>416</v>
      </c>
    </row>
    <row r="31" spans="1:15" x14ac:dyDescent="0.25">
      <c r="A31" s="2" t="str">
        <v>Pens</v>
      </c>
      <c r="B31" s="2">
        <v>215</v>
      </c>
      <c r="C31" s="2">
        <f t="shared" ca="1" si="0"/>
        <v>383</v>
      </c>
      <c r="D31" s="2">
        <f t="shared" ca="1" si="1"/>
        <v>766</v>
      </c>
      <c r="E31" s="2">
        <f t="shared" ca="1" si="2"/>
        <v>1614</v>
      </c>
      <c r="F31" s="2">
        <f t="shared" ca="1" si="3"/>
        <v>3186</v>
      </c>
      <c r="G31" s="2">
        <f t="shared" ca="1" si="4"/>
        <v>6468</v>
      </c>
      <c r="I31" s="39" t="s">
        <v>15</v>
      </c>
      <c r="J31" s="39">
        <v>26</v>
      </c>
      <c r="K31" s="39">
        <v>41</v>
      </c>
      <c r="L31" s="39">
        <v>69</v>
      </c>
      <c r="M31" s="39">
        <v>116</v>
      </c>
      <c r="N31" s="39">
        <v>152</v>
      </c>
      <c r="O31" s="39">
        <v>211</v>
      </c>
    </row>
    <row r="32" spans="1:15" x14ac:dyDescent="0.25">
      <c r="A32" s="2" t="str">
        <v>Geometry Box</v>
      </c>
      <c r="B32" s="2">
        <v>16</v>
      </c>
      <c r="C32" s="2">
        <f t="shared" ca="1" si="0"/>
        <v>24</v>
      </c>
      <c r="D32" s="2">
        <f t="shared" ca="1" si="1"/>
        <v>59</v>
      </c>
      <c r="E32" s="2">
        <f t="shared" ca="1" si="2"/>
        <v>141</v>
      </c>
      <c r="F32" s="2">
        <f t="shared" ca="1" si="3"/>
        <v>272</v>
      </c>
      <c r="G32" s="2">
        <f t="shared" ca="1" si="4"/>
        <v>560</v>
      </c>
      <c r="I32" s="39" t="s">
        <v>11</v>
      </c>
      <c r="J32" s="39">
        <v>16</v>
      </c>
      <c r="K32" s="39">
        <v>24</v>
      </c>
      <c r="L32" s="39">
        <v>43</v>
      </c>
      <c r="M32" s="39">
        <v>85</v>
      </c>
      <c r="N32" s="39">
        <v>117</v>
      </c>
      <c r="O32" s="39">
        <v>165</v>
      </c>
    </row>
    <row r="33" spans="1:15" x14ac:dyDescent="0.25">
      <c r="A33" s="2" t="str">
        <v>Chart Paper</v>
      </c>
      <c r="B33" s="2">
        <v>24</v>
      </c>
      <c r="C33" s="2">
        <f t="shared" ca="1" si="0"/>
        <v>47</v>
      </c>
      <c r="D33" s="2">
        <f t="shared" ca="1" si="1"/>
        <v>100</v>
      </c>
      <c r="E33" s="2">
        <f t="shared" ca="1" si="2"/>
        <v>212</v>
      </c>
      <c r="F33" s="2">
        <f t="shared" ca="1" si="3"/>
        <v>441</v>
      </c>
      <c r="G33" s="2">
        <f t="shared" ca="1" si="4"/>
        <v>915</v>
      </c>
      <c r="I33" s="39" t="s">
        <v>17</v>
      </c>
      <c r="J33" s="39">
        <v>59</v>
      </c>
      <c r="K33" s="39">
        <v>101</v>
      </c>
      <c r="L33" s="39">
        <v>153</v>
      </c>
      <c r="M33" s="39">
        <v>241</v>
      </c>
      <c r="N33" s="39">
        <v>313</v>
      </c>
      <c r="O33" s="39">
        <v>415</v>
      </c>
    </row>
    <row r="34" spans="1:15" x14ac:dyDescent="0.25">
      <c r="A34" s="2" t="str">
        <v>Adhesive</v>
      </c>
      <c r="B34" s="2">
        <v>80</v>
      </c>
      <c r="C34" s="2">
        <f t="shared" ca="1" si="0"/>
        <v>141</v>
      </c>
      <c r="D34" s="2">
        <f t="shared" ca="1" si="1"/>
        <v>287</v>
      </c>
      <c r="E34" s="2">
        <f t="shared" ca="1" si="2"/>
        <v>601</v>
      </c>
      <c r="F34" s="2">
        <f t="shared" ca="1" si="3"/>
        <v>1196</v>
      </c>
      <c r="G34" s="2">
        <f t="shared" ca="1" si="4"/>
        <v>2427</v>
      </c>
      <c r="I34" s="39" t="s">
        <v>85</v>
      </c>
      <c r="J34" s="39">
        <v>39</v>
      </c>
      <c r="K34" s="39">
        <v>61</v>
      </c>
      <c r="L34" s="39">
        <v>107</v>
      </c>
      <c r="M34" s="39">
        <v>172</v>
      </c>
      <c r="N34" s="39">
        <v>220</v>
      </c>
      <c r="O34" s="39">
        <v>326</v>
      </c>
    </row>
    <row r="35" spans="1:15" x14ac:dyDescent="0.25">
      <c r="A35" s="2" t="str">
        <v>Color Pencils</v>
      </c>
      <c r="B35" s="2">
        <v>50</v>
      </c>
      <c r="C35" s="2">
        <f t="shared" ca="1" si="0"/>
        <v>85</v>
      </c>
      <c r="D35" s="2">
        <f t="shared" ca="1" si="1"/>
        <v>193</v>
      </c>
      <c r="E35" s="2">
        <f t="shared" ca="1" si="2"/>
        <v>417</v>
      </c>
      <c r="F35" s="2">
        <f t="shared" ca="1" si="3"/>
        <v>827</v>
      </c>
      <c r="G35" s="2">
        <f t="shared" ca="1" si="4"/>
        <v>1674</v>
      </c>
      <c r="I35" s="39" t="s">
        <v>38</v>
      </c>
      <c r="J35" s="39">
        <v>121</v>
      </c>
      <c r="K35" s="39">
        <v>205</v>
      </c>
      <c r="L35" s="39">
        <v>311</v>
      </c>
      <c r="M35" s="39">
        <v>465</v>
      </c>
      <c r="N35" s="39">
        <v>568</v>
      </c>
      <c r="O35" s="39">
        <v>744</v>
      </c>
    </row>
    <row r="36" spans="1:15" x14ac:dyDescent="0.25">
      <c r="A36" s="2" t="str">
        <v>Project File</v>
      </c>
      <c r="B36" s="2">
        <v>30</v>
      </c>
      <c r="C36" s="2">
        <f t="shared" ca="1" si="0"/>
        <v>52</v>
      </c>
      <c r="D36" s="2">
        <f t="shared" ca="1" si="1"/>
        <v>108</v>
      </c>
      <c r="E36" s="2">
        <f t="shared" ca="1" si="2"/>
        <v>232</v>
      </c>
      <c r="F36" s="2">
        <f t="shared" ca="1" si="3"/>
        <v>479</v>
      </c>
      <c r="G36" s="2">
        <f t="shared" ca="1" si="4"/>
        <v>952</v>
      </c>
      <c r="I36" s="39" t="s">
        <v>40</v>
      </c>
      <c r="J36" s="39">
        <v>215</v>
      </c>
      <c r="K36" s="39">
        <v>383</v>
      </c>
      <c r="L36" s="39">
        <v>551</v>
      </c>
      <c r="M36" s="39">
        <v>801</v>
      </c>
      <c r="N36" s="39">
        <v>1009</v>
      </c>
      <c r="O36" s="39">
        <v>1313</v>
      </c>
    </row>
    <row r="37" spans="1:15" x14ac:dyDescent="0.25">
      <c r="A37" s="2" t="str">
        <v>Stapler</v>
      </c>
      <c r="B37" s="2">
        <v>30</v>
      </c>
      <c r="C37" s="2">
        <f t="shared" ca="1" si="0"/>
        <v>49</v>
      </c>
      <c r="D37" s="2">
        <f t="shared" ca="1" si="1"/>
        <v>108</v>
      </c>
      <c r="E37" s="2">
        <f t="shared" ca="1" si="2"/>
        <v>222</v>
      </c>
      <c r="F37" s="2">
        <f t="shared" ca="1" si="3"/>
        <v>445</v>
      </c>
      <c r="G37" s="2">
        <f t="shared" ca="1" si="4"/>
        <v>913</v>
      </c>
      <c r="I37" s="39" t="s">
        <v>80</v>
      </c>
      <c r="J37" s="39">
        <v>30</v>
      </c>
      <c r="K37" s="39">
        <v>52</v>
      </c>
      <c r="L37" s="39">
        <v>78</v>
      </c>
      <c r="M37" s="39">
        <v>120</v>
      </c>
      <c r="N37" s="39">
        <v>177</v>
      </c>
      <c r="O37" s="39">
        <v>228</v>
      </c>
    </row>
    <row r="38" spans="1:15" x14ac:dyDescent="0.25">
      <c r="A38" s="2" t="str">
        <v>Drawing Book</v>
      </c>
      <c r="B38" s="2">
        <v>26</v>
      </c>
      <c r="C38" s="2">
        <f t="shared" ca="1" si="0"/>
        <v>41</v>
      </c>
      <c r="D38" s="2">
        <f t="shared" ca="1" si="1"/>
        <v>95</v>
      </c>
      <c r="E38" s="2">
        <f t="shared" ca="1" si="2"/>
        <v>209</v>
      </c>
      <c r="F38" s="2">
        <f t="shared" ca="1" si="3"/>
        <v>407</v>
      </c>
      <c r="G38" s="2">
        <f t="shared" ca="1" si="4"/>
        <v>837</v>
      </c>
      <c r="I38" s="39" t="s">
        <v>16</v>
      </c>
      <c r="J38" s="39">
        <v>31</v>
      </c>
      <c r="K38" s="39">
        <v>54</v>
      </c>
      <c r="L38" s="39">
        <v>100</v>
      </c>
      <c r="M38" s="39">
        <v>203</v>
      </c>
      <c r="N38" s="39">
        <v>259</v>
      </c>
      <c r="O38" s="39">
        <v>413</v>
      </c>
    </row>
    <row r="39" spans="1:15" x14ac:dyDescent="0.25">
      <c r="A39" s="2" t="str">
        <v>Adhesive Tape</v>
      </c>
      <c r="B39" s="2">
        <v>34</v>
      </c>
      <c r="C39" s="2">
        <f t="shared" ca="1" si="0"/>
        <v>61</v>
      </c>
      <c r="D39" s="2">
        <f t="shared" ca="1" si="1"/>
        <v>128</v>
      </c>
      <c r="E39" s="2">
        <f t="shared" ca="1" si="2"/>
        <v>278</v>
      </c>
      <c r="F39" s="2">
        <f t="shared" ca="1" si="3"/>
        <v>558</v>
      </c>
      <c r="G39" s="2">
        <f t="shared" ca="1" si="4"/>
        <v>1145</v>
      </c>
      <c r="I39" s="39" t="s">
        <v>32</v>
      </c>
      <c r="J39" s="39">
        <v>63</v>
      </c>
      <c r="K39" s="39">
        <v>110</v>
      </c>
      <c r="L39" s="39">
        <v>188</v>
      </c>
      <c r="M39" s="39">
        <v>377</v>
      </c>
      <c r="N39" s="39">
        <v>474</v>
      </c>
      <c r="O39" s="39">
        <v>705</v>
      </c>
    </row>
    <row r="40" spans="1:15" x14ac:dyDescent="0.25">
      <c r="A40" s="2" t="str">
        <v>Markers</v>
      </c>
      <c r="B40" s="2">
        <v>59</v>
      </c>
      <c r="C40" s="2">
        <f t="shared" ca="1" si="0"/>
        <v>101</v>
      </c>
      <c r="D40" s="2">
        <f t="shared" ca="1" si="1"/>
        <v>212</v>
      </c>
      <c r="E40" s="2">
        <f t="shared" ca="1" si="2"/>
        <v>460</v>
      </c>
      <c r="F40" s="2">
        <f t="shared" ca="1" si="3"/>
        <v>904</v>
      </c>
      <c r="G40" s="2">
        <f t="shared" ca="1" si="4"/>
        <v>1838</v>
      </c>
      <c r="I40" s="39" t="s">
        <v>19</v>
      </c>
      <c r="J40" s="39">
        <v>48</v>
      </c>
      <c r="K40" s="39">
        <v>79</v>
      </c>
      <c r="L40" s="39">
        <v>137</v>
      </c>
      <c r="M40" s="39">
        <v>268</v>
      </c>
      <c r="N40" s="39">
        <v>340</v>
      </c>
      <c r="O40" s="39">
        <v>503</v>
      </c>
    </row>
    <row r="41" spans="1:15" x14ac:dyDescent="0.25">
      <c r="A41" s="2" t="str">
        <v>Water Colors and Oil paints</v>
      </c>
      <c r="B41" s="2">
        <v>52</v>
      </c>
      <c r="C41" s="2">
        <f t="shared" ca="1" si="0"/>
        <v>79</v>
      </c>
      <c r="D41" s="2">
        <f t="shared" ca="1" si="1"/>
        <v>183</v>
      </c>
      <c r="E41" s="2">
        <f t="shared" ca="1" si="2"/>
        <v>404</v>
      </c>
      <c r="F41" s="2">
        <f t="shared" ca="1" si="3"/>
        <v>786</v>
      </c>
      <c r="G41" s="2">
        <f t="shared" ca="1" si="4"/>
        <v>1636</v>
      </c>
      <c r="I41" s="39" t="s">
        <v>14</v>
      </c>
      <c r="J41" s="39">
        <v>30</v>
      </c>
      <c r="K41" s="39">
        <v>49</v>
      </c>
      <c r="L41" s="39">
        <v>78</v>
      </c>
      <c r="M41" s="39">
        <v>113</v>
      </c>
      <c r="N41" s="39">
        <v>149</v>
      </c>
      <c r="O41" s="39">
        <v>208</v>
      </c>
    </row>
    <row r="42" spans="1:15" x14ac:dyDescent="0.25">
      <c r="A42" s="2" t="str">
        <v>Notebook Cover</v>
      </c>
      <c r="B42" s="2">
        <v>39</v>
      </c>
      <c r="C42" s="2">
        <f t="shared" ca="1" si="0"/>
        <v>61</v>
      </c>
      <c r="D42" s="2">
        <f t="shared" ca="1" si="1"/>
        <v>146</v>
      </c>
      <c r="E42" s="2">
        <f t="shared" ca="1" si="2"/>
        <v>311</v>
      </c>
      <c r="F42" s="2">
        <f t="shared" ca="1" si="3"/>
        <v>605</v>
      </c>
      <c r="G42" s="2">
        <f t="shared" ca="1" si="4"/>
        <v>1268</v>
      </c>
      <c r="I42" s="39" t="s">
        <v>33</v>
      </c>
      <c r="J42" s="39">
        <v>26</v>
      </c>
      <c r="K42" s="39">
        <v>39</v>
      </c>
      <c r="L42" s="39">
        <v>62</v>
      </c>
      <c r="M42" s="39">
        <v>127</v>
      </c>
      <c r="N42" s="39">
        <v>163</v>
      </c>
      <c r="O42" s="39">
        <v>249</v>
      </c>
    </row>
    <row r="43" spans="1:15" ht="28.5" x14ac:dyDescent="0.25">
      <c r="A43" s="2" t="str">
        <v>A4 Sheets</v>
      </c>
      <c r="B43" s="2">
        <v>54</v>
      </c>
      <c r="C43" s="2">
        <f t="shared" ca="1" si="0"/>
        <v>95</v>
      </c>
      <c r="D43" s="2">
        <f t="shared" ca="1" si="1"/>
        <v>204</v>
      </c>
      <c r="E43" s="2">
        <f t="shared" ca="1" si="2"/>
        <v>425</v>
      </c>
      <c r="F43" s="2">
        <f t="shared" ca="1" si="3"/>
        <v>871</v>
      </c>
      <c r="G43" s="2">
        <f t="shared" ca="1" si="4"/>
        <v>1778</v>
      </c>
      <c r="I43" s="39" t="s">
        <v>82</v>
      </c>
      <c r="J43" s="39">
        <v>52</v>
      </c>
      <c r="K43" s="39">
        <v>79</v>
      </c>
      <c r="L43" s="39">
        <v>131</v>
      </c>
      <c r="M43" s="39">
        <v>221</v>
      </c>
      <c r="N43" s="39">
        <v>289</v>
      </c>
      <c r="O43" s="39">
        <v>421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F4A5-2E1D-4CA3-BB2B-656B55F39EC7}">
  <dimension ref="A1:AD41"/>
  <sheetViews>
    <sheetView topLeftCell="H20" zoomScale="116" workbookViewId="0">
      <selection activeCell="M24" sqref="M24"/>
    </sheetView>
  </sheetViews>
  <sheetFormatPr defaultRowHeight="15" x14ac:dyDescent="0.25"/>
  <cols>
    <col min="1" max="1" width="25.5703125" bestFit="1" customWidth="1"/>
    <col min="2" max="2" width="13.85546875" bestFit="1" customWidth="1"/>
    <col min="3" max="3" width="9.7109375" bestFit="1" customWidth="1"/>
    <col min="4" max="4" width="10.85546875" bestFit="1" customWidth="1"/>
    <col min="5" max="5" width="13.85546875" bestFit="1" customWidth="1"/>
    <col min="9" max="9" width="26.85546875" customWidth="1"/>
    <col min="10" max="10" width="20.85546875" customWidth="1"/>
    <col min="13" max="13" width="25.140625" bestFit="1" customWidth="1"/>
    <col min="14" max="14" width="8.5703125" customWidth="1"/>
    <col min="15" max="15" width="10" customWidth="1"/>
    <col min="23" max="23" width="26.140625" bestFit="1" customWidth="1"/>
  </cols>
  <sheetData>
    <row r="1" spans="1:30" x14ac:dyDescent="0.25">
      <c r="A1" s="13" t="s">
        <v>138</v>
      </c>
      <c r="B1" s="13"/>
      <c r="M1" s="13" t="s">
        <v>139</v>
      </c>
      <c r="W1" s="13" t="s">
        <v>141</v>
      </c>
    </row>
    <row r="2" spans="1:30" x14ac:dyDescent="0.25">
      <c r="A2" s="2" t="s">
        <v>18</v>
      </c>
      <c r="B2" s="2" t="s">
        <v>123</v>
      </c>
      <c r="C2" s="2" t="s">
        <v>124</v>
      </c>
      <c r="D2" s="2" t="s">
        <v>94</v>
      </c>
      <c r="E2" s="2" t="s">
        <v>95</v>
      </c>
      <c r="F2" s="2" t="s">
        <v>96</v>
      </c>
      <c r="G2" s="2" t="s">
        <v>97</v>
      </c>
      <c r="H2" s="2" t="s">
        <v>112</v>
      </c>
      <c r="M2" s="2" t="s">
        <v>18</v>
      </c>
      <c r="N2" s="2" t="s">
        <v>123</v>
      </c>
      <c r="O2" s="2" t="s">
        <v>124</v>
      </c>
      <c r="P2" s="2" t="s">
        <v>94</v>
      </c>
      <c r="Q2" s="2" t="s">
        <v>95</v>
      </c>
      <c r="R2" s="2" t="s">
        <v>96</v>
      </c>
      <c r="S2" s="2" t="s">
        <v>97</v>
      </c>
      <c r="T2" s="2" t="s">
        <v>112</v>
      </c>
      <c r="W2" s="2" t="s">
        <v>18</v>
      </c>
      <c r="X2" s="2" t="s">
        <v>123</v>
      </c>
      <c r="Y2" s="2" t="s">
        <v>124</v>
      </c>
      <c r="Z2" s="2" t="s">
        <v>94</v>
      </c>
      <c r="AA2" s="2" t="s">
        <v>95</v>
      </c>
      <c r="AB2" s="2" t="s">
        <v>96</v>
      </c>
      <c r="AC2" s="2" t="s">
        <v>97</v>
      </c>
      <c r="AD2" s="2" t="s">
        <v>112</v>
      </c>
    </row>
    <row r="3" spans="1:30" x14ac:dyDescent="0.25">
      <c r="A3" s="2" t="str" cm="1">
        <f t="array" ref="A3:A20">_xlfn.UNIQUE(January!B2:B65)</f>
        <v>Spiral Notebook</v>
      </c>
      <c r="B3" s="2">
        <f ca="1">SUMIF(January!B2:B65,'Average Profit Margin'!A3,January!I2:I4)</f>
        <v>7360</v>
      </c>
      <c r="C3" s="2">
        <f ca="1">SUMIF(February!B2:B65,'Average Profit Margin'!A3,February!I2:I4)</f>
        <v>4730</v>
      </c>
      <c r="D3" s="2">
        <f ca="1">SUMIF(March!B2:B65,'Average Profit Margin'!A3,March!I2:I4)</f>
        <v>8785</v>
      </c>
      <c r="E3" s="2">
        <f ca="1">SUMIF(April!B2:B65,'Average Profit Margin'!A3,April!I2:I4)</f>
        <v>19925</v>
      </c>
      <c r="F3" s="2">
        <f ca="1">SUMIF(May!B2:B65,'Average Profit Margin'!A3,May!I2:I4)</f>
        <v>11015</v>
      </c>
      <c r="G3" s="2">
        <f ca="1">SUMIF(June!B2:B65,'Average Profit Margin'!A3,June!I2:I4)</f>
        <v>24825</v>
      </c>
      <c r="H3" s="2">
        <f ca="1">B3+C3+D3+E3+F3+G3</f>
        <v>76640</v>
      </c>
      <c r="M3" s="2" t="str" cm="1">
        <f t="array" ref="M3:M20">_xlfn.UNIQUE(January!B2:B65)</f>
        <v>Spiral Notebook</v>
      </c>
      <c r="N3" s="2">
        <f ca="1">SUMIF(January!B2:B65,'Average Profit Margin'!M3,January!J2:J4)</f>
        <v>6150</v>
      </c>
      <c r="O3" s="2">
        <f ca="1">SUMIF(February!B2:B65,'Average Profit Margin'!M3,February!J2:J4)</f>
        <v>3945</v>
      </c>
      <c r="P3" s="2">
        <f ca="1">SUMIF(March!B2:B65,'Average Profit Margin'!M3,March!J2:J4)</f>
        <v>7305</v>
      </c>
      <c r="Q3" s="2">
        <f ca="1">SUMIF(April!B2:B65,'Average Profit Margin'!M3,April!J2:J4)</f>
        <v>16590</v>
      </c>
      <c r="R3" s="2">
        <f ca="1">SUMIF(May!B2:B65,'Average Profit Margin'!M3,May!J2:J4)</f>
        <v>9195</v>
      </c>
      <c r="S3" s="2">
        <f ca="1">SUMIF(June!B2:B65,'Average Profit Margin'!M3,June!J2:J4)</f>
        <v>20685</v>
      </c>
      <c r="T3" s="2">
        <f ca="1">N3+O3+P3+Q3+R3+S3</f>
        <v>63870</v>
      </c>
      <c r="W3" s="2" t="str" cm="1">
        <f t="array" ref="W3:W20">_xlfn.UNIQUE(January!B2:B65)</f>
        <v>Spiral Notebook</v>
      </c>
      <c r="X3" s="2">
        <f ca="1">SUMIF(January!B2:B65,'Average Profit Margin'!W3,January!K2:K4)</f>
        <v>1210</v>
      </c>
      <c r="Y3" s="2">
        <f ca="1">SUMIF(February!B2:B65,'Average Profit Margin'!W3,February!K2:K4)</f>
        <v>785</v>
      </c>
      <c r="Z3" s="2">
        <f ca="1">SUMIF(March!B2:B65,'Average Profit Margin'!W3,March!K2:K4)</f>
        <v>1480</v>
      </c>
      <c r="AA3" s="2">
        <f ca="1">SUMIF(April!B2:B65,'Average Profit Margin'!W3,April!K2:K4)</f>
        <v>3335</v>
      </c>
      <c r="AB3" s="2">
        <f ca="1">SUMIF(May!B2:B65,'Average Profit Margin'!W3,May!K2:K4)</f>
        <v>1820</v>
      </c>
      <c r="AC3" s="2">
        <f ca="1">SUMIF(June!B2:B65,'Average Profit Margin'!W3,June!K2:K4)</f>
        <v>4140</v>
      </c>
      <c r="AD3" s="2">
        <f ca="1">X3+Y3+Z3+AA3+AB3+AC3</f>
        <v>12770</v>
      </c>
    </row>
    <row r="4" spans="1:30" x14ac:dyDescent="0.25">
      <c r="A4" s="2" t="str">
        <v>Ruled Notebook</v>
      </c>
      <c r="B4" s="2">
        <f ca="1">SUMIF(January!B3:B66,'Average Profit Margin'!A4,January!I3:I5)</f>
        <v>3035</v>
      </c>
      <c r="C4" s="2">
        <f ca="1">SUMIF(February!B3:B66,'Average Profit Margin'!A4,February!I3:I5)</f>
        <v>2250</v>
      </c>
      <c r="D4" s="2">
        <f ca="1">SUMIF(March!B3:B66,'Average Profit Margin'!A4,March!I3:I5)</f>
        <v>3520</v>
      </c>
      <c r="E4" s="2">
        <f ca="1">SUMIF(April!B3:B66,'Average Profit Margin'!A4,April!I3:I5)</f>
        <v>8905</v>
      </c>
      <c r="F4" s="2">
        <f ca="1">SUMIF(May!B3:B66,'Average Profit Margin'!A4,May!I3:I5)</f>
        <v>4480</v>
      </c>
      <c r="G4" s="2">
        <f ca="1">SUMIF(June!B3:B66,'Average Profit Margin'!A4,June!I3:I5)</f>
        <v>10500</v>
      </c>
      <c r="H4" s="2">
        <f t="shared" ref="H4:H20" ca="1" si="0">B4+C4+D4+E4+F4+G4</f>
        <v>32690</v>
      </c>
      <c r="M4" s="2" t="str">
        <v>Ruled Notebook</v>
      </c>
      <c r="N4" s="2">
        <f ca="1">SUMIF(January!B3:B66,'Average Profit Margin'!M4,January!J3:J5)</f>
        <v>2011</v>
      </c>
      <c r="O4" s="2">
        <f ca="1">SUMIF(February!B3:B66,'Average Profit Margin'!M4,February!J3:J5)</f>
        <v>1502</v>
      </c>
      <c r="P4" s="2">
        <f ca="1">SUMIF(March!B3:B66,'Average Profit Margin'!M4,March!J3:J5)</f>
        <v>2266</v>
      </c>
      <c r="Q4" s="2">
        <f ca="1">SUMIF(April!B3:B66,'Average Profit Margin'!M4,April!J3:J5)</f>
        <v>5949</v>
      </c>
      <c r="R4" s="2">
        <f ca="1">SUMIF(May!B3:B66,'Average Profit Margin'!M4,May!J3:J5)</f>
        <v>2961</v>
      </c>
      <c r="S4" s="2">
        <f ca="1">SUMIF(June!B3:B66,'Average Profit Margin'!M4,June!J3:J5)</f>
        <v>7061</v>
      </c>
      <c r="T4" s="2">
        <f t="shared" ref="T4:T20" ca="1" si="1">N4+O4+P4+Q4+R4+S4</f>
        <v>21750</v>
      </c>
      <c r="W4" s="2" t="str">
        <v>Ruled Notebook</v>
      </c>
      <c r="X4" s="2">
        <f ca="1">SUMIF(January!B3:B66,'Average Profit Margin'!W4,January!K3:K5)</f>
        <v>1024</v>
      </c>
      <c r="Y4" s="2">
        <f ca="1">SUMIF(February!B3:B66,'Average Profit Margin'!W4,February!K3:K5)</f>
        <v>748</v>
      </c>
      <c r="Z4" s="2">
        <f ca="1">SUMIF(March!B3:B66,'Average Profit Margin'!W4,March!K3:K5)</f>
        <v>1254</v>
      </c>
      <c r="AA4" s="2">
        <f ca="1">SUMIF(April!B3:B66,'Average Profit Margin'!W4,April!K3:K5)</f>
        <v>2956</v>
      </c>
      <c r="AB4" s="2">
        <f ca="1">SUMIF(May!B3:B66,'Average Profit Margin'!W4,May!K3:K5)</f>
        <v>1519</v>
      </c>
      <c r="AC4" s="2">
        <f ca="1">SUMIF(June!B3:B66,'Average Profit Margin'!W4,June!K3:K5)</f>
        <v>3439</v>
      </c>
      <c r="AD4" s="2">
        <f t="shared" ref="AD4:AD20" ca="1" si="2">X4+Y4+Z4+AA4+AB4+AC4</f>
        <v>10940</v>
      </c>
    </row>
    <row r="5" spans="1:30" x14ac:dyDescent="0.25">
      <c r="A5" s="2" t="str">
        <v>Unruled Notebook</v>
      </c>
      <c r="B5" s="2">
        <f ca="1">SUMIF(January!B4:B67,'Average Profit Margin'!A5,January!I4:I6)</f>
        <v>1170</v>
      </c>
      <c r="C5" s="2">
        <f ca="1">SUMIF(February!B4:B67,'Average Profit Margin'!A5,February!I4:I6)</f>
        <v>590</v>
      </c>
      <c r="D5" s="2">
        <f ca="1">SUMIF(March!B4:B67,'Average Profit Margin'!A5,March!I4:I6)</f>
        <v>1040</v>
      </c>
      <c r="E5" s="2">
        <f ca="1">SUMIF(April!B4:B67,'Average Profit Margin'!A5,April!I4:I6)</f>
        <v>2910</v>
      </c>
      <c r="F5" s="2">
        <f ca="1">SUMIF(May!B4:B67,'Average Profit Margin'!A5,May!I4:I6)</f>
        <v>1630</v>
      </c>
      <c r="G5" s="2">
        <f ca="1">SUMIF(June!B4:B67,'Average Profit Margin'!A5,June!I4:I6)</f>
        <v>3860</v>
      </c>
      <c r="H5" s="2">
        <f t="shared" ca="1" si="0"/>
        <v>11200</v>
      </c>
      <c r="M5" s="2" t="str">
        <v>Unruled Notebook</v>
      </c>
      <c r="N5" s="2">
        <f ca="1">SUMIF(January!B4:B67,'Average Profit Margin'!M5,January!J4:J6)</f>
        <v>741</v>
      </c>
      <c r="O5" s="2">
        <f ca="1">SUMIF(February!B4:B67,'Average Profit Margin'!M5,February!J4:J6)</f>
        <v>377</v>
      </c>
      <c r="P5" s="2">
        <f ca="1">SUMIF(March!B4:B67,'Average Profit Margin'!M5,March!J4:J6)</f>
        <v>662</v>
      </c>
      <c r="Q5" s="2">
        <f ca="1">SUMIF(April!B4:B67,'Average Profit Margin'!M5,April!J4:J6)</f>
        <v>1833</v>
      </c>
      <c r="R5" s="2">
        <f ca="1">SUMIF(May!B4:B67,'Average Profit Margin'!M5,May!J4:J6)</f>
        <v>1039</v>
      </c>
      <c r="S5" s="2">
        <f ca="1">SUMIF(June!B4:B67,'Average Profit Margin'!M5,June!J4:J6)</f>
        <v>2438</v>
      </c>
      <c r="T5" s="2">
        <f t="shared" ca="1" si="1"/>
        <v>7090</v>
      </c>
      <c r="W5" s="2" t="str">
        <v>Unruled Notebook</v>
      </c>
      <c r="X5" s="2">
        <f ca="1">SUMIF(January!B4:B67,'Average Profit Margin'!W5,January!K4:K6)</f>
        <v>429</v>
      </c>
      <c r="Y5" s="2">
        <f ca="1">SUMIF(February!B4:B67,'Average Profit Margin'!W5,February!K4:K6)</f>
        <v>213</v>
      </c>
      <c r="Z5" s="2">
        <f ca="1">SUMIF(March!B4:B67,'Average Profit Margin'!W5,March!K4:K6)</f>
        <v>378</v>
      </c>
      <c r="AA5" s="2">
        <f ca="1">SUMIF(April!B4:B67,'Average Profit Margin'!W5,April!K4:K6)</f>
        <v>1077</v>
      </c>
      <c r="AB5" s="2">
        <f ca="1">SUMIF(May!B4:B67,'Average Profit Margin'!W5,May!K4:K6)</f>
        <v>591</v>
      </c>
      <c r="AC5" s="2">
        <f ca="1">SUMIF(June!B4:B67,'Average Profit Margin'!W5,June!K4:K6)</f>
        <v>1422</v>
      </c>
      <c r="AD5" s="2">
        <f t="shared" ca="1" si="2"/>
        <v>4110</v>
      </c>
    </row>
    <row r="6" spans="1:30" x14ac:dyDescent="0.25">
      <c r="A6" s="2" t="str">
        <v>Register</v>
      </c>
      <c r="B6" s="2">
        <f ca="1">SUMIF(January!B5:B68,'Average Profit Margin'!A6,January!I5:I7)</f>
        <v>3598</v>
      </c>
      <c r="C6" s="2">
        <f ca="1">SUMIF(February!B5:B68,'Average Profit Margin'!A6,February!I5:I7)</f>
        <v>3090</v>
      </c>
      <c r="D6" s="2">
        <f ca="1">SUMIF(March!B5:B68,'Average Profit Margin'!A6,March!I5:I7)</f>
        <v>5069</v>
      </c>
      <c r="E6" s="2">
        <f ca="1">SUMIF(April!B5:B68,'Average Profit Margin'!A6,April!I5:I7)</f>
        <v>11091</v>
      </c>
      <c r="F6" s="2">
        <f ca="1">SUMIF(May!B5:B68,'Average Profit Margin'!A6,May!I5:I7)</f>
        <v>5833</v>
      </c>
      <c r="G6" s="2">
        <f ca="1">SUMIF(June!B5:B68,'Average Profit Margin'!A6,June!I5:I7)</f>
        <v>15345</v>
      </c>
      <c r="H6" s="2">
        <f t="shared" ca="1" si="0"/>
        <v>44026</v>
      </c>
      <c r="M6" s="2" t="str">
        <v>Register</v>
      </c>
      <c r="N6" s="2">
        <f ca="1">SUMIF(January!B5:B68,'Average Profit Margin'!M6,January!J5:J7)</f>
        <v>2950</v>
      </c>
      <c r="O6" s="2">
        <f ca="1">SUMIF(February!B5:B68,'Average Profit Margin'!M6,February!J5:J7)</f>
        <v>2570</v>
      </c>
      <c r="P6" s="2">
        <f ca="1">SUMIF(March!B5:B68,'Average Profit Margin'!M6,March!J5:J7)</f>
        <v>4145</v>
      </c>
      <c r="Q6" s="2">
        <f ca="1">SUMIF(April!B5:B68,'Average Profit Margin'!M6,April!J5:J7)</f>
        <v>9065</v>
      </c>
      <c r="R6" s="2">
        <f ca="1">SUMIF(May!B5:B68,'Average Profit Margin'!M6,May!J5:J7)</f>
        <v>4725</v>
      </c>
      <c r="S6" s="2">
        <f ca="1">SUMIF(June!B5:B68,'Average Profit Margin'!M6,June!J5:J7)</f>
        <v>12435</v>
      </c>
      <c r="T6" s="2">
        <f t="shared" ca="1" si="1"/>
        <v>35890</v>
      </c>
      <c r="W6" s="2" t="str">
        <v>Register</v>
      </c>
      <c r="X6" s="2">
        <f ca="1">SUMIF(January!B5:B68,'Average Profit Margin'!W6,January!K5:K7)</f>
        <v>648</v>
      </c>
      <c r="Y6" s="2">
        <f ca="1">SUMIF(February!B5:B68,'Average Profit Margin'!W6,February!K5:K7)</f>
        <v>520</v>
      </c>
      <c r="Z6" s="2">
        <f ca="1">SUMIF(March!B5:B68,'Average Profit Margin'!W6,March!K5:K7)</f>
        <v>924</v>
      </c>
      <c r="AA6" s="2">
        <f ca="1">SUMIF(April!B5:B68,'Average Profit Margin'!W6,April!K5:K7)</f>
        <v>2026</v>
      </c>
      <c r="AB6" s="2">
        <f ca="1">SUMIF(May!B5:B68,'Average Profit Margin'!W6,May!K5:K7)</f>
        <v>1108</v>
      </c>
      <c r="AC6" s="2">
        <f ca="1">SUMIF(June!B5:B68,'Average Profit Margin'!W6,June!K5:K7)</f>
        <v>2910</v>
      </c>
      <c r="AD6" s="2">
        <f t="shared" ca="1" si="2"/>
        <v>8136</v>
      </c>
    </row>
    <row r="7" spans="1:30" x14ac:dyDescent="0.25">
      <c r="A7" s="2" t="str">
        <v>Pencils</v>
      </c>
      <c r="B7" s="2">
        <f ca="1">SUMIF(January!B6:B69,'Average Profit Margin'!A7,January!I6:I8)</f>
        <v>7120</v>
      </c>
      <c r="C7" s="2">
        <f ca="1">SUMIF(February!B6:B69,'Average Profit Margin'!A7,February!I6:I8)</f>
        <v>5100</v>
      </c>
      <c r="D7" s="2">
        <f ca="1">SUMIF(March!B6:B69,'Average Profit Margin'!A7,March!I6:I8)</f>
        <v>6140</v>
      </c>
      <c r="E7" s="2">
        <f ca="1">SUMIF(April!B6:B69,'Average Profit Margin'!A7,April!I6:I8)</f>
        <v>9060</v>
      </c>
      <c r="F7" s="2">
        <f ca="1">SUMIF(May!B6:B69,'Average Profit Margin'!A7,May!I6:I8)</f>
        <v>5940</v>
      </c>
      <c r="G7" s="2">
        <f ca="1">SUMIF(June!B6:B69,'Average Profit Margin'!A7,June!I6:I8)</f>
        <v>10320</v>
      </c>
      <c r="H7" s="2">
        <f t="shared" ca="1" si="0"/>
        <v>43680</v>
      </c>
      <c r="M7" s="2" t="str">
        <v>Pencils</v>
      </c>
      <c r="N7" s="2">
        <f ca="1">SUMIF(January!B6:B69,'Average Profit Margin'!M7,January!J6:J8)</f>
        <v>5150</v>
      </c>
      <c r="O7" s="2">
        <f ca="1">SUMIF(February!B6:B69,'Average Profit Margin'!M7,February!J6:J8)</f>
        <v>3715</v>
      </c>
      <c r="P7" s="2">
        <f ca="1">SUMIF(March!B6:B69,'Average Profit Margin'!M7,March!J6:J8)</f>
        <v>4410</v>
      </c>
      <c r="Q7" s="2">
        <f ca="1">SUMIF(April!B6:B69,'Average Profit Margin'!M7,April!J6:J8)</f>
        <v>6555</v>
      </c>
      <c r="R7" s="2">
        <f ca="1">SUMIF(May!B6:B69,'Average Profit Margin'!M7,May!J6:J8)</f>
        <v>4275</v>
      </c>
      <c r="S7" s="2">
        <f ca="1">SUMIF(June!B6:B69,'Average Profit Margin'!M7,June!J6:J8)</f>
        <v>7440</v>
      </c>
      <c r="T7" s="2">
        <f t="shared" ca="1" si="1"/>
        <v>31545</v>
      </c>
      <c r="W7" s="2" t="str">
        <v>Pencils</v>
      </c>
      <c r="X7" s="2">
        <f ca="1">SUMIF(January!B6:B69,'Average Profit Margin'!W7,January!K6:K8)</f>
        <v>1970</v>
      </c>
      <c r="Y7" s="2">
        <f ca="1">SUMIF(February!B6:B69,'Average Profit Margin'!W7,February!K6:K8)</f>
        <v>1385</v>
      </c>
      <c r="Z7" s="2">
        <f ca="1">SUMIF(March!B6:B69,'Average Profit Margin'!W7,March!K6:K8)</f>
        <v>1730</v>
      </c>
      <c r="AA7" s="2">
        <f ca="1">SUMIF(April!B6:B69,'Average Profit Margin'!W7,April!K6:K8)</f>
        <v>2505</v>
      </c>
      <c r="AB7" s="2">
        <f ca="1">SUMIF(May!B6:B69,'Average Profit Margin'!W7,May!K6:K8)</f>
        <v>1665</v>
      </c>
      <c r="AC7" s="2">
        <f ca="1">SUMIF(June!B6:B69,'Average Profit Margin'!W7,June!K6:K8)</f>
        <v>2880</v>
      </c>
      <c r="AD7" s="2">
        <f t="shared" ca="1" si="2"/>
        <v>12135</v>
      </c>
    </row>
    <row r="8" spans="1:30" x14ac:dyDescent="0.25">
      <c r="A8" s="2" t="str">
        <v>Pens</v>
      </c>
      <c r="B8" s="2">
        <f ca="1">SUMIF(January!B7:B70,'Average Profit Margin'!A8,January!I7:I9)</f>
        <v>17120</v>
      </c>
      <c r="C8" s="2">
        <f ca="1">SUMIF(February!B7:B70,'Average Profit Margin'!A8,February!I7:I9)</f>
        <v>13350</v>
      </c>
      <c r="D8" s="2">
        <f ca="1">SUMIF(March!B7:B70,'Average Profit Margin'!A8,March!I7:I9)</f>
        <v>13480</v>
      </c>
      <c r="E8" s="2">
        <f ca="1">SUMIF(April!B7:B70,'Average Profit Margin'!A8,April!I7:I9)</f>
        <v>20010</v>
      </c>
      <c r="F8" s="2">
        <f ca="1">SUMIF(May!B7:B70,'Average Profit Margin'!A8,May!I7:I9)</f>
        <v>16780</v>
      </c>
      <c r="G8" s="2">
        <f ca="1">SUMIF(June!B7:B70,'Average Profit Margin'!A8,June!I7:I9)</f>
        <v>24530</v>
      </c>
      <c r="H8" s="2">
        <f t="shared" ca="1" si="0"/>
        <v>105270</v>
      </c>
      <c r="M8" s="2" t="str">
        <v>Pens</v>
      </c>
      <c r="N8" s="2">
        <f ca="1">SUMIF(January!B7:B70,'Average Profit Margin'!M8,January!J7:J9)</f>
        <v>13270</v>
      </c>
      <c r="O8" s="2">
        <f ca="1">SUMIF(February!B7:B70,'Average Profit Margin'!M8,February!J7:J9)</f>
        <v>10360</v>
      </c>
      <c r="P8" s="2">
        <f ca="1">SUMIF(March!B7:B70,'Average Profit Margin'!M8,March!J7:J9)</f>
        <v>10505</v>
      </c>
      <c r="Q8" s="2">
        <f ca="1">SUMIF(April!B7:B70,'Average Profit Margin'!M8,April!J7:J9)</f>
        <v>15555</v>
      </c>
      <c r="R8" s="2">
        <f ca="1">SUMIF(May!B7:B70,'Average Profit Margin'!M8,May!J7:J9)</f>
        <v>13090</v>
      </c>
      <c r="S8" s="2">
        <f ca="1">SUMIF(June!B7:B70,'Average Profit Margin'!M8,June!J7:J9)</f>
        <v>19095</v>
      </c>
      <c r="T8" s="2">
        <f t="shared" ca="1" si="1"/>
        <v>81875</v>
      </c>
      <c r="W8" s="2" t="str">
        <v>Pens</v>
      </c>
      <c r="X8" s="2">
        <f ca="1">SUMIF(January!B7:B70,'Average Profit Margin'!W8,January!K7:K9)</f>
        <v>3850</v>
      </c>
      <c r="Y8" s="2">
        <f ca="1">SUMIF(February!B7:B70,'Average Profit Margin'!W8,February!K7:K9)</f>
        <v>2990</v>
      </c>
      <c r="Z8" s="2">
        <f ca="1">SUMIF(March!B7:B70,'Average Profit Margin'!W8,March!K7:K9)</f>
        <v>2975</v>
      </c>
      <c r="AA8" s="2">
        <f ca="1">SUMIF(April!B7:B70,'Average Profit Margin'!W8,April!K7:K9)</f>
        <v>4455</v>
      </c>
      <c r="AB8" s="2">
        <f ca="1">SUMIF(May!B7:B70,'Average Profit Margin'!W8,May!K7:K9)</f>
        <v>3690</v>
      </c>
      <c r="AC8" s="2">
        <f ca="1">SUMIF(June!B7:B70,'Average Profit Margin'!W8,June!K7:K9)</f>
        <v>5435</v>
      </c>
      <c r="AD8" s="2">
        <f t="shared" ca="1" si="2"/>
        <v>23395</v>
      </c>
    </row>
    <row r="9" spans="1:30" x14ac:dyDescent="0.25">
      <c r="A9" s="2" t="str">
        <v>Geometry Box</v>
      </c>
      <c r="B9" s="2">
        <f ca="1">SUMIF(January!B8:B71,'Average Profit Margin'!A9,January!I8:I10)</f>
        <v>3270</v>
      </c>
      <c r="C9" s="2">
        <f ca="1">SUMIF(February!B8:B71,'Average Profit Margin'!A9,February!I8:I10)</f>
        <v>1615</v>
      </c>
      <c r="D9" s="2">
        <f ca="1">SUMIF(March!B8:B71,'Average Profit Margin'!A9,March!I8:I10)</f>
        <v>3975</v>
      </c>
      <c r="E9" s="2">
        <f ca="1">SUMIF(April!B8:B71,'Average Profit Margin'!A9,April!I8:I10)</f>
        <v>8900</v>
      </c>
      <c r="F9" s="2">
        <f ca="1">SUMIF(May!B8:B71,'Average Profit Margin'!A9,May!I8:I10)</f>
        <v>6595</v>
      </c>
      <c r="G9" s="2">
        <f ca="1">SUMIF(June!B8:B71,'Average Profit Margin'!A9,June!I8:I10)</f>
        <v>9160</v>
      </c>
      <c r="H9" s="2">
        <f t="shared" ca="1" si="0"/>
        <v>33515</v>
      </c>
      <c r="M9" s="2" t="str">
        <v>Geometry Box</v>
      </c>
      <c r="N9" s="2">
        <f ca="1">SUMIF(January!B8:B71,'Average Profit Margin'!M9,January!J8:J10)</f>
        <v>2745</v>
      </c>
      <c r="O9" s="2">
        <f ca="1">SUMIF(February!B8:B71,'Average Profit Margin'!M9,February!J8:J10)</f>
        <v>1340</v>
      </c>
      <c r="P9" s="2">
        <f ca="1">SUMIF(March!B8:B71,'Average Profit Margin'!M9,March!J8:J10)</f>
        <v>3300</v>
      </c>
      <c r="Q9" s="2">
        <f ca="1">SUMIF(April!B8:B71,'Average Profit Margin'!M9,April!J8:J10)</f>
        <v>7375</v>
      </c>
      <c r="R9" s="2">
        <f ca="1">SUMIF(May!B8:B71,'Average Profit Margin'!M9,May!J8:J10)</f>
        <v>5495</v>
      </c>
      <c r="S9" s="2">
        <f ca="1">SUMIF(June!B8:B71,'Average Profit Margin'!M9,June!J8:J10)</f>
        <v>7685</v>
      </c>
      <c r="T9" s="2">
        <f t="shared" ca="1" si="1"/>
        <v>27940</v>
      </c>
      <c r="W9" s="2" t="str">
        <v>Geometry Box</v>
      </c>
      <c r="X9" s="2">
        <f ca="1">SUMIF(January!B8:B71,'Average Profit Margin'!W9,January!K8:K10)</f>
        <v>525</v>
      </c>
      <c r="Y9" s="2">
        <f ca="1">SUMIF(February!B8:B71,'Average Profit Margin'!W9,February!K8:K10)</f>
        <v>275</v>
      </c>
      <c r="Z9" s="2">
        <f ca="1">SUMIF(March!B8:B71,'Average Profit Margin'!W9,March!K8:K10)</f>
        <v>675</v>
      </c>
      <c r="AA9" s="2">
        <f ca="1">SUMIF(April!B8:B71,'Average Profit Margin'!W9,April!K8:K10)</f>
        <v>1525</v>
      </c>
      <c r="AB9" s="2">
        <f ca="1">SUMIF(May!B8:B71,'Average Profit Margin'!W9,May!K8:K10)</f>
        <v>1100</v>
      </c>
      <c r="AC9" s="2">
        <f ca="1">SUMIF(June!B8:B71,'Average Profit Margin'!W9,June!K8:K10)</f>
        <v>1475</v>
      </c>
      <c r="AD9" s="2">
        <f t="shared" ca="1" si="2"/>
        <v>5575</v>
      </c>
    </row>
    <row r="10" spans="1:30" x14ac:dyDescent="0.25">
      <c r="A10" s="2" t="str">
        <v>Chart Paper</v>
      </c>
      <c r="B10" s="2">
        <f ca="1">SUMIF(January!B9:B72,'Average Profit Margin'!A10,January!I9:I11)</f>
        <v>264</v>
      </c>
      <c r="C10" s="2">
        <f ca="1">SUMIF(February!B9:B72,'Average Profit Margin'!A10,February!I9:I11)</f>
        <v>256</v>
      </c>
      <c r="D10" s="2">
        <f ca="1">SUMIF(March!B9:B72,'Average Profit Margin'!A10,March!I9:I11)</f>
        <v>322</v>
      </c>
      <c r="E10" s="2">
        <f ca="1">SUMIF(April!B9:B72,'Average Profit Margin'!A10,April!I9:I11)</f>
        <v>458</v>
      </c>
      <c r="F10" s="2">
        <f ca="1">SUMIF(May!B9:B72,'Average Profit Margin'!A10,May!I9:I11)</f>
        <v>630</v>
      </c>
      <c r="G10" s="2">
        <f ca="1">SUMIF(June!B9:B72,'Average Profit Margin'!A10,June!I9:I11)</f>
        <v>1006</v>
      </c>
      <c r="H10" s="2">
        <f t="shared" ca="1" si="0"/>
        <v>2936</v>
      </c>
      <c r="M10" s="2" t="str">
        <v>Chart Paper</v>
      </c>
      <c r="N10" s="2">
        <f ca="1">SUMIF(January!B9:B72,'Average Profit Margin'!M10,January!J9:J11)</f>
        <v>144</v>
      </c>
      <c r="O10" s="2">
        <f ca="1">SUMIF(February!B9:B72,'Average Profit Margin'!M10,February!J9:J11)</f>
        <v>141</v>
      </c>
      <c r="P10" s="2">
        <f ca="1">SUMIF(March!B9:B72,'Average Profit Margin'!M10,March!J9:J11)</f>
        <v>177</v>
      </c>
      <c r="Q10" s="2">
        <f ca="1">SUMIF(April!B9:B72,'Average Profit Margin'!M10,April!J9:J11)</f>
        <v>253</v>
      </c>
      <c r="R10" s="2">
        <f ca="1">SUMIF(May!B9:B72,'Average Profit Margin'!M10,May!J9:J11)</f>
        <v>340</v>
      </c>
      <c r="S10" s="2">
        <f ca="1">SUMIF(June!B9:B72,'Average Profit Margin'!M10,June!J9:J11)</f>
        <v>551</v>
      </c>
      <c r="T10" s="2">
        <f t="shared" ca="1" si="1"/>
        <v>1606</v>
      </c>
      <c r="W10" s="2" t="str">
        <v>Chart Paper</v>
      </c>
      <c r="X10" s="2">
        <f ca="1">SUMIF(January!B9:B72,'Average Profit Margin'!W10,January!K9:K11)</f>
        <v>120</v>
      </c>
      <c r="Y10" s="2">
        <f ca="1">SUMIF(February!B9:B72,'Average Profit Margin'!W10,February!K9:K11)</f>
        <v>115</v>
      </c>
      <c r="Z10" s="2">
        <f ca="1">SUMIF(March!B9:B72,'Average Profit Margin'!W10,March!K9:K11)</f>
        <v>145</v>
      </c>
      <c r="AA10" s="2">
        <f ca="1">SUMIF(April!B9:B72,'Average Profit Margin'!W10,April!K9:K11)</f>
        <v>205</v>
      </c>
      <c r="AB10" s="2">
        <f ca="1">SUMIF(May!B9:B72,'Average Profit Margin'!W10,May!K9:K11)</f>
        <v>290</v>
      </c>
      <c r="AC10" s="2">
        <f ca="1">SUMIF(June!B9:B72,'Average Profit Margin'!W10,June!K9:K11)</f>
        <v>455</v>
      </c>
      <c r="AD10" s="2">
        <f t="shared" ca="1" si="2"/>
        <v>1330</v>
      </c>
    </row>
    <row r="11" spans="1:30" x14ac:dyDescent="0.25">
      <c r="A11" s="2" t="str">
        <v>Adhesive</v>
      </c>
      <c r="B11" s="2">
        <f ca="1">SUMIF(January!B10:B73,'Average Profit Margin'!A11,January!I10:I12)</f>
        <v>3875</v>
      </c>
      <c r="C11" s="2">
        <f ca="1">SUMIF(February!B10:B73,'Average Profit Margin'!A11,February!I10:I12)</f>
        <v>3110</v>
      </c>
      <c r="D11" s="2">
        <f ca="1">SUMIF(March!B10:B73,'Average Profit Margin'!A11,March!I10:I12)</f>
        <v>3375</v>
      </c>
      <c r="E11" s="2">
        <f ca="1">SUMIF(April!B10:B73,'Average Profit Margin'!A11,April!I10:I12)</f>
        <v>4515</v>
      </c>
      <c r="F11" s="2">
        <f ca="1">SUMIF(May!B10:B73,'Average Profit Margin'!A11,May!I10:I12)</f>
        <v>4370</v>
      </c>
      <c r="G11" s="2">
        <f ca="1">SUMIF(June!B10:B73,'Average Profit Margin'!A11,June!I10:I12)</f>
        <v>6130</v>
      </c>
      <c r="H11" s="2">
        <f t="shared" ca="1" si="0"/>
        <v>25375</v>
      </c>
      <c r="M11" s="2" t="str">
        <v>Adhesive</v>
      </c>
      <c r="N11" s="2">
        <f ca="1">SUMIF(January!B10:B73,'Average Profit Margin'!M11,January!J10:J12)</f>
        <v>2905</v>
      </c>
      <c r="O11" s="2">
        <f ca="1">SUMIF(February!B10:B73,'Average Profit Margin'!M11,February!J10:J12)</f>
        <v>2335</v>
      </c>
      <c r="P11" s="2">
        <f ca="1">SUMIF(March!B10:B73,'Average Profit Margin'!M11,March!J10:J12)</f>
        <v>2535</v>
      </c>
      <c r="Q11" s="2">
        <f ca="1">SUMIF(April!B10:B73,'Average Profit Margin'!M11,April!J10:J12)</f>
        <v>3390</v>
      </c>
      <c r="R11" s="2">
        <f ca="1">SUMIF(May!B10:B73,'Average Profit Margin'!M11,May!J10:J12)</f>
        <v>3285</v>
      </c>
      <c r="S11" s="2">
        <f ca="1">SUMIF(June!B10:B73,'Average Profit Margin'!M11,June!J10:J12)</f>
        <v>4600</v>
      </c>
      <c r="T11" s="2">
        <f t="shared" ca="1" si="1"/>
        <v>19050</v>
      </c>
      <c r="W11" s="2" t="str">
        <v>Adhesive</v>
      </c>
      <c r="X11" s="2">
        <f ca="1">SUMIF(January!B10:B73,'Average Profit Margin'!W11,January!K10:K12)</f>
        <v>970</v>
      </c>
      <c r="Y11" s="2">
        <f ca="1">SUMIF(February!B10:B73,'Average Profit Margin'!W11,February!K10:K12)</f>
        <v>775</v>
      </c>
      <c r="Z11" s="2">
        <f ca="1">SUMIF(March!B10:B73,'Average Profit Margin'!W11,March!K10:K12)</f>
        <v>840</v>
      </c>
      <c r="AA11" s="2">
        <f ca="1">SUMIF(April!B10:B73,'Average Profit Margin'!W11,April!K10:K12)</f>
        <v>1125</v>
      </c>
      <c r="AB11" s="2">
        <f ca="1">SUMIF(May!B10:B73,'Average Profit Margin'!W11,May!K10:K12)</f>
        <v>1085</v>
      </c>
      <c r="AC11" s="2">
        <f ca="1">SUMIF(June!B10:B73,'Average Profit Margin'!W11,June!K10:K12)</f>
        <v>1530</v>
      </c>
      <c r="AD11" s="2">
        <f t="shared" ca="1" si="2"/>
        <v>6325</v>
      </c>
    </row>
    <row r="12" spans="1:30" x14ac:dyDescent="0.25">
      <c r="A12" s="2" t="str">
        <v>Color Pencils</v>
      </c>
      <c r="B12" s="2">
        <f ca="1">SUMIF(January!B11:B74,'Average Profit Margin'!A12,January!I11:I13)</f>
        <v>7110</v>
      </c>
      <c r="C12" s="2">
        <f ca="1">SUMIF(February!B11:B74,'Average Profit Margin'!A12,February!I11:I13)</f>
        <v>4405</v>
      </c>
      <c r="D12" s="2">
        <f ca="1">SUMIF(March!B11:B74,'Average Profit Margin'!A12,March!I11:I13)</f>
        <v>8350</v>
      </c>
      <c r="E12" s="2">
        <f ca="1">SUMIF(April!B11:B74,'Average Profit Margin'!A12,April!I11:I13)</f>
        <v>13220</v>
      </c>
      <c r="F12" s="2">
        <f ca="1">SUMIF(May!B11:B74,'Average Profit Margin'!A12,May!I11:I13)</f>
        <v>11090</v>
      </c>
      <c r="G12" s="2">
        <f ca="1">SUMIF(June!B11:B74,'Average Profit Margin'!A12,June!I11:I13)</f>
        <v>14430</v>
      </c>
      <c r="H12" s="2">
        <f t="shared" ca="1" si="0"/>
        <v>58605</v>
      </c>
      <c r="M12" s="2" t="str">
        <v>Color Pencils</v>
      </c>
      <c r="N12" s="2">
        <f ca="1">SUMIF(January!B11:B74,'Average Profit Margin'!M12,January!J11:J13)</f>
        <v>5530</v>
      </c>
      <c r="O12" s="2">
        <f ca="1">SUMIF(February!B11:B74,'Average Profit Margin'!M12,February!J11:J13)</f>
        <v>3315</v>
      </c>
      <c r="P12" s="2">
        <f ca="1">SUMIF(March!B11:B74,'Average Profit Margin'!M12,March!J11:J13)</f>
        <v>6515</v>
      </c>
      <c r="Q12" s="2">
        <f ca="1">SUMIF(April!B11:B74,'Average Profit Margin'!M12,April!J11:J13)</f>
        <v>10315</v>
      </c>
      <c r="R12" s="2">
        <f ca="1">SUMIF(May!B11:B74,'Average Profit Margin'!M12,May!J11:J13)</f>
        <v>8585</v>
      </c>
      <c r="S12" s="2">
        <f ca="1">SUMIF(June!B11:B74,'Average Profit Margin'!M12,June!J11:J13)</f>
        <v>11110</v>
      </c>
      <c r="T12" s="2">
        <f t="shared" ca="1" si="1"/>
        <v>45370</v>
      </c>
      <c r="W12" s="2" t="str">
        <v>Color Pencils</v>
      </c>
      <c r="X12" s="2">
        <f ca="1">SUMIF(January!B11:B74,'Average Profit Margin'!W12,January!K11:K13)</f>
        <v>1580</v>
      </c>
      <c r="Y12" s="2">
        <f ca="1">SUMIF(February!B11:B74,'Average Profit Margin'!W12,February!K11:K13)</f>
        <v>1090</v>
      </c>
      <c r="Z12" s="2">
        <f ca="1">SUMIF(March!B11:B74,'Average Profit Margin'!W12,March!K11:K13)</f>
        <v>1835</v>
      </c>
      <c r="AA12" s="2">
        <f ca="1">SUMIF(April!B11:B74,'Average Profit Margin'!W12,April!K11:K13)</f>
        <v>2905</v>
      </c>
      <c r="AB12" s="2">
        <f ca="1">SUMIF(May!B11:B74,'Average Profit Margin'!W12,May!K11:K13)</f>
        <v>2505</v>
      </c>
      <c r="AC12" s="2">
        <f ca="1">SUMIF(June!B11:B74,'Average Profit Margin'!W12,June!K11:K13)</f>
        <v>3320</v>
      </c>
      <c r="AD12" s="2">
        <f t="shared" ca="1" si="2"/>
        <v>13235</v>
      </c>
    </row>
    <row r="13" spans="1:30" x14ac:dyDescent="0.25">
      <c r="A13" s="2" t="str">
        <v>Project File</v>
      </c>
      <c r="B13" s="2">
        <f ca="1">SUMIF(January!B12:B75,'Average Profit Margin'!A13,January!I12:I14)</f>
        <v>760</v>
      </c>
      <c r="C13" s="2">
        <f ca="1">SUMIF(February!B12:B75,'Average Profit Margin'!A13,February!I12:I14)</f>
        <v>560</v>
      </c>
      <c r="D13" s="2">
        <f ca="1">SUMIF(March!B12:B75,'Average Profit Margin'!A13,March!I12:I14)</f>
        <v>640</v>
      </c>
      <c r="E13" s="2">
        <f ca="1">SUMIF(April!B12:B75,'Average Profit Margin'!A13,April!I12:I14)</f>
        <v>1040</v>
      </c>
      <c r="F13" s="2">
        <f ca="1">SUMIF(May!B12:B75,'Average Profit Margin'!A13,May!I12:I14)</f>
        <v>1470</v>
      </c>
      <c r="G13" s="2">
        <f ca="1">SUMIF(June!B12:B75,'Average Profit Margin'!A13,June!I12:I14)</f>
        <v>1300</v>
      </c>
      <c r="H13" s="2">
        <f t="shared" ca="1" si="0"/>
        <v>5770</v>
      </c>
      <c r="M13" s="2" t="str">
        <v>Project File</v>
      </c>
      <c r="N13" s="2">
        <f ca="1">SUMIF(January!B12:B75,'Average Profit Margin'!M13,January!J12:J14)</f>
        <v>488</v>
      </c>
      <c r="O13" s="2">
        <f ca="1">SUMIF(February!B12:B75,'Average Profit Margin'!M13,February!J12:J14)</f>
        <v>360</v>
      </c>
      <c r="P13" s="2">
        <f ca="1">SUMIF(March!B12:B75,'Average Profit Margin'!M13,March!J12:J14)</f>
        <v>408</v>
      </c>
      <c r="Q13" s="2">
        <f ca="1">SUMIF(April!B12:B75,'Average Profit Margin'!M13,April!J12:J14)</f>
        <v>664</v>
      </c>
      <c r="R13" s="2">
        <f ca="1">SUMIF(May!B12:B75,'Average Profit Margin'!M13,May!J12:J14)</f>
        <v>948</v>
      </c>
      <c r="S13" s="2">
        <f ca="1">SUMIF(June!B12:B75,'Average Profit Margin'!M13,June!J12:J14)</f>
        <v>836</v>
      </c>
      <c r="T13" s="2">
        <f t="shared" ca="1" si="1"/>
        <v>3704</v>
      </c>
      <c r="W13" s="2" t="str">
        <v>Project File</v>
      </c>
      <c r="X13" s="2">
        <f ca="1">SUMIF(January!B12:B75,'Average Profit Margin'!W13,January!K12:K14)</f>
        <v>272</v>
      </c>
      <c r="Y13" s="2">
        <f ca="1">SUMIF(February!B12:B75,'Average Profit Margin'!W13,February!K12:K14)</f>
        <v>200</v>
      </c>
      <c r="Z13" s="2">
        <f ca="1">SUMIF(March!B12:B75,'Average Profit Margin'!W13,March!K12:K14)</f>
        <v>232</v>
      </c>
      <c r="AA13" s="2">
        <f ca="1">SUMIF(April!B12:B75,'Average Profit Margin'!W13,April!K12:K14)</f>
        <v>376</v>
      </c>
      <c r="AB13" s="2">
        <f ca="1">SUMIF(May!B12:B75,'Average Profit Margin'!W13,May!K12:K14)</f>
        <v>522</v>
      </c>
      <c r="AC13" s="2">
        <f ca="1">SUMIF(June!B12:B75,'Average Profit Margin'!W13,June!K12:K14)</f>
        <v>464</v>
      </c>
      <c r="AD13" s="2">
        <f t="shared" ca="1" si="2"/>
        <v>2066</v>
      </c>
    </row>
    <row r="14" spans="1:30" x14ac:dyDescent="0.25">
      <c r="A14" s="2" t="str">
        <v>Stapler</v>
      </c>
      <c r="B14" s="2">
        <f ca="1">SUMIF(January!B13:B76,'Average Profit Margin'!A14,January!I13:I15)</f>
        <v>1080</v>
      </c>
      <c r="C14" s="2">
        <f ca="1">SUMIF(February!B13:B76,'Average Profit Margin'!A14,February!I13:I15)</f>
        <v>500</v>
      </c>
      <c r="D14" s="2">
        <f ca="1">SUMIF(March!B13:B76,'Average Profit Margin'!A14,March!I13:I15)</f>
        <v>1000</v>
      </c>
      <c r="E14" s="2">
        <f ca="1">SUMIF(April!B13:B76,'Average Profit Margin'!A14,April!I13:I15)</f>
        <v>1060</v>
      </c>
      <c r="F14" s="2">
        <f ca="1">SUMIF(May!B13:B76,'Average Profit Margin'!A14,May!I13:I15)</f>
        <v>1200</v>
      </c>
      <c r="G14" s="2">
        <f ca="1">SUMIF(June!B13:B76,'Average Profit Margin'!A14,June!I13:I15)</f>
        <v>2080</v>
      </c>
      <c r="H14" s="2">
        <f t="shared" ca="1" si="0"/>
        <v>6920</v>
      </c>
      <c r="M14" s="2" t="str">
        <v>Stapler</v>
      </c>
      <c r="N14" s="2">
        <f ca="1">SUMIF(January!B13:B76,'Average Profit Margin'!M14,January!J13:J15)</f>
        <v>594</v>
      </c>
      <c r="O14" s="2">
        <f ca="1">SUMIF(February!B13:B76,'Average Profit Margin'!M14,February!J13:J15)</f>
        <v>229</v>
      </c>
      <c r="P14" s="2">
        <f ca="1">SUMIF(March!B13:B76,'Average Profit Margin'!M14,March!J13:J15)</f>
        <v>539</v>
      </c>
      <c r="Q14" s="2">
        <f ca="1">SUMIF(April!B13:B76,'Average Profit Margin'!M14,April!J13:J15)</f>
        <v>533</v>
      </c>
      <c r="R14" s="2">
        <f ca="1">SUMIF(May!B13:B76,'Average Profit Margin'!M14,May!J13:J15)</f>
        <v>636</v>
      </c>
      <c r="S14" s="2">
        <f ca="1">SUMIF(June!B13:B76,'Average Profit Margin'!M14,June!J13:J15)</f>
        <v>1133</v>
      </c>
      <c r="T14" s="2">
        <f t="shared" ca="1" si="1"/>
        <v>3664</v>
      </c>
      <c r="W14" s="2" t="str">
        <v>Stapler</v>
      </c>
      <c r="X14" s="2">
        <f ca="1">SUMIF(January!B13:B76,'Average Profit Margin'!W14,January!K13:K15)</f>
        <v>486</v>
      </c>
      <c r="Y14" s="2">
        <f ca="1">SUMIF(February!B13:B76,'Average Profit Margin'!W14,February!K13:K15)</f>
        <v>271</v>
      </c>
      <c r="Z14" s="2">
        <f ca="1">SUMIF(March!B13:B76,'Average Profit Margin'!W14,March!K13:K15)</f>
        <v>461</v>
      </c>
      <c r="AA14" s="2">
        <f ca="1">SUMIF(April!B13:B76,'Average Profit Margin'!W14,April!K13:K15)</f>
        <v>527</v>
      </c>
      <c r="AB14" s="2">
        <f ca="1">SUMIF(May!B13:B76,'Average Profit Margin'!W14,May!K13:K15)</f>
        <v>564</v>
      </c>
      <c r="AC14" s="2">
        <f ca="1">SUMIF(June!B13:B76,'Average Profit Margin'!W14,June!K13:K15)</f>
        <v>947</v>
      </c>
      <c r="AD14" s="2">
        <f t="shared" ca="1" si="2"/>
        <v>3256</v>
      </c>
    </row>
    <row r="15" spans="1:30" x14ac:dyDescent="0.25">
      <c r="A15" s="2" t="str">
        <v>Drawing Book</v>
      </c>
      <c r="B15" s="2">
        <f ca="1">SUMIF(January!B14:B77,'Average Profit Margin'!A15,January!I14:I16)</f>
        <v>3420</v>
      </c>
      <c r="C15" s="2">
        <f ca="1">SUMIF(February!B14:B77,'Average Profit Margin'!A15,February!I14:I16)</f>
        <v>1870</v>
      </c>
      <c r="D15" s="2">
        <f ca="1">SUMIF(March!B14:B77,'Average Profit Margin'!A15,March!I14:I16)</f>
        <v>3645</v>
      </c>
      <c r="E15" s="2">
        <f ca="1">SUMIF(April!B14:B77,'Average Profit Margin'!A15,April!I14:I16)</f>
        <v>6435</v>
      </c>
      <c r="F15" s="2">
        <f ca="1">SUMIF(May!B14:B77,'Average Profit Margin'!A15,May!I14:I16)</f>
        <v>4780</v>
      </c>
      <c r="G15" s="2">
        <f ca="1">SUMIF(June!B14:B77,'Average Profit Margin'!A15,June!I14:I16)</f>
        <v>7470</v>
      </c>
      <c r="H15" s="2">
        <f t="shared" ca="1" si="0"/>
        <v>27620</v>
      </c>
      <c r="M15" s="2" t="str">
        <v>Drawing Book</v>
      </c>
      <c r="N15" s="2">
        <f ca="1">SUMIF(January!B14:B77,'Average Profit Margin'!M15,January!J14:J16)</f>
        <v>2650</v>
      </c>
      <c r="O15" s="2">
        <f ca="1">SUMIF(February!B14:B77,'Average Profit Margin'!M15,February!J14:J16)</f>
        <v>1455</v>
      </c>
      <c r="P15" s="2">
        <f ca="1">SUMIF(March!B14:B77,'Average Profit Margin'!M15,March!J14:J16)</f>
        <v>2825</v>
      </c>
      <c r="Q15" s="2">
        <f ca="1">SUMIF(April!B14:B77,'Average Profit Margin'!M15,April!J14:J16)</f>
        <v>5020</v>
      </c>
      <c r="R15" s="2">
        <f ca="1">SUMIF(May!B14:B77,'Average Profit Margin'!M15,May!J14:J16)</f>
        <v>3720</v>
      </c>
      <c r="S15" s="2">
        <f ca="1">SUMIF(June!B14:B77,'Average Profit Margin'!M15,June!J14:J16)</f>
        <v>5755</v>
      </c>
      <c r="T15" s="2">
        <f t="shared" ca="1" si="1"/>
        <v>21425</v>
      </c>
      <c r="W15" s="2" t="str">
        <v>Drawing Book</v>
      </c>
      <c r="X15" s="2">
        <f ca="1">SUMIF(January!B14:B77,'Average Profit Margin'!W15,January!K14:K16)</f>
        <v>770</v>
      </c>
      <c r="Y15" s="2">
        <f ca="1">SUMIF(February!B14:B77,'Average Profit Margin'!W15,February!K14:K16)</f>
        <v>415</v>
      </c>
      <c r="Z15" s="2">
        <f ca="1">SUMIF(March!B14:B77,'Average Profit Margin'!W15,March!K14:K16)</f>
        <v>820</v>
      </c>
      <c r="AA15" s="2">
        <f ca="1">SUMIF(April!B14:B77,'Average Profit Margin'!W15,April!K14:K16)</f>
        <v>1415</v>
      </c>
      <c r="AB15" s="2">
        <f ca="1">SUMIF(May!B14:B77,'Average Profit Margin'!W15,May!K14:K16)</f>
        <v>1060</v>
      </c>
      <c r="AC15" s="2">
        <f ca="1">SUMIF(June!B14:B77,'Average Profit Margin'!W15,June!K14:K16)</f>
        <v>1715</v>
      </c>
      <c r="AD15" s="2">
        <f t="shared" ca="1" si="2"/>
        <v>6195</v>
      </c>
    </row>
    <row r="16" spans="1:30" x14ac:dyDescent="0.25">
      <c r="A16" s="2" t="str">
        <v>Adhesive Tape</v>
      </c>
      <c r="B16" s="2">
        <f ca="1">SUMIF(January!B15:B78,'Average Profit Margin'!A16,January!I15:I17)</f>
        <v>3545</v>
      </c>
      <c r="C16" s="2">
        <f ca="1">SUMIF(February!B15:B78,'Average Profit Margin'!A16,February!I15:I17)</f>
        <v>2820</v>
      </c>
      <c r="D16" s="2">
        <f ca="1">SUMIF(March!B15:B78,'Average Profit Margin'!A16,March!I15:I17)</f>
        <v>3390</v>
      </c>
      <c r="E16" s="2">
        <f ca="1">SUMIF(April!B15:B78,'Average Profit Margin'!A16,April!I15:I17)</f>
        <v>5960</v>
      </c>
      <c r="F16" s="2">
        <f ca="1">SUMIF(May!B15:B78,'Average Profit Margin'!A16,May!I15:I17)</f>
        <v>6555</v>
      </c>
      <c r="G16" s="2">
        <f ca="1">SUMIF(June!B15:B78,'Average Profit Margin'!A16,June!I15:I17)</f>
        <v>8905</v>
      </c>
      <c r="H16" s="2">
        <f t="shared" ca="1" si="0"/>
        <v>31175</v>
      </c>
      <c r="M16" s="2" t="str">
        <v>Adhesive Tape</v>
      </c>
      <c r="N16" s="2">
        <f ca="1">SUMIF(January!B15:B78,'Average Profit Margin'!M16,January!J15:J17)</f>
        <v>2505</v>
      </c>
      <c r="O16" s="2">
        <f ca="1">SUMIF(February!B15:B78,'Average Profit Margin'!M16,February!J15:J17)</f>
        <v>1995</v>
      </c>
      <c r="P16" s="2">
        <f ca="1">SUMIF(March!B15:B78,'Average Profit Margin'!M16,March!J15:J17)</f>
        <v>2385</v>
      </c>
      <c r="Q16" s="2">
        <f ca="1">SUMIF(April!B15:B78,'Average Profit Margin'!M16,April!J15:J17)</f>
        <v>4255</v>
      </c>
      <c r="R16" s="2">
        <f ca="1">SUMIF(May!B15:B78,'Average Profit Margin'!M16,May!J15:J17)</f>
        <v>4740</v>
      </c>
      <c r="S16" s="2">
        <f ca="1">SUMIF(June!B15:B78,'Average Profit Margin'!M16,June!J15:J17)</f>
        <v>6285</v>
      </c>
      <c r="T16" s="2">
        <f t="shared" ca="1" si="1"/>
        <v>22165</v>
      </c>
      <c r="W16" s="2" t="str">
        <v>Adhesive Tape</v>
      </c>
      <c r="X16" s="2">
        <f ca="1">SUMIF(January!B15:B78,'Average Profit Margin'!W16,January!K15:K17)</f>
        <v>1040</v>
      </c>
      <c r="Y16" s="2">
        <f ca="1">SUMIF(February!B15:B78,'Average Profit Margin'!W16,February!K15:K17)</f>
        <v>825</v>
      </c>
      <c r="Z16" s="2">
        <f ca="1">SUMIF(March!B15:B78,'Average Profit Margin'!W16,March!K15:K17)</f>
        <v>1005</v>
      </c>
      <c r="AA16" s="2">
        <f ca="1">SUMIF(April!B15:B78,'Average Profit Margin'!W16,April!K15:K17)</f>
        <v>1705</v>
      </c>
      <c r="AB16" s="2">
        <f ca="1">SUMIF(May!B15:B78,'Average Profit Margin'!W16,May!K15:K17)</f>
        <v>1815</v>
      </c>
      <c r="AC16" s="2">
        <f ca="1">SUMIF(June!B15:B78,'Average Profit Margin'!W16,June!K15:K17)</f>
        <v>2620</v>
      </c>
      <c r="AD16" s="2">
        <f t="shared" ca="1" si="2"/>
        <v>9010</v>
      </c>
    </row>
    <row r="17" spans="1:30" x14ac:dyDescent="0.25">
      <c r="A17" s="2" t="str">
        <v>Markers</v>
      </c>
      <c r="B17" s="2">
        <f ca="1">SUMIF(January!B16:B79,'Average Profit Margin'!A17,January!I16:I18)</f>
        <v>1115</v>
      </c>
      <c r="C17" s="2">
        <f ca="1">SUMIF(February!B16:B79,'Average Profit Margin'!A17,February!I16:I18)</f>
        <v>800</v>
      </c>
      <c r="D17" s="2">
        <f ca="1">SUMIF(March!B16:B79,'Average Profit Margin'!A17,March!I16:I18)</f>
        <v>985</v>
      </c>
      <c r="E17" s="2">
        <f ca="1">SUMIF(April!B16:B79,'Average Profit Margin'!A17,April!I16:I18)</f>
        <v>1670</v>
      </c>
      <c r="F17" s="2">
        <f ca="1">SUMIF(May!B16:B79,'Average Profit Margin'!A17,May!I16:I18)</f>
        <v>1350</v>
      </c>
      <c r="G17" s="2">
        <f ca="1">SUMIF(June!B16:B79,'Average Profit Margin'!A17,June!I16:I18)</f>
        <v>1925</v>
      </c>
      <c r="H17" s="2">
        <f t="shared" ca="1" si="0"/>
        <v>7845</v>
      </c>
      <c r="M17" s="2" t="str">
        <v>Markers</v>
      </c>
      <c r="N17" s="2">
        <f ca="1">SUMIF(January!B16:B79,'Average Profit Margin'!M17,January!J16:J18)</f>
        <v>622</v>
      </c>
      <c r="O17" s="2">
        <f ca="1">SUMIF(February!B16:B79,'Average Profit Margin'!M17,February!J16:J18)</f>
        <v>448</v>
      </c>
      <c r="P17" s="2">
        <f ca="1">SUMIF(March!B16:B79,'Average Profit Margin'!M17,March!J16:J18)</f>
        <v>550</v>
      </c>
      <c r="Q17" s="2">
        <f ca="1">SUMIF(April!B16:B79,'Average Profit Margin'!M17,April!J16:J18)</f>
        <v>936</v>
      </c>
      <c r="R17" s="2">
        <f ca="1">SUMIF(May!B16:B79,'Average Profit Margin'!M17,May!J16:J18)</f>
        <v>748</v>
      </c>
      <c r="S17" s="2">
        <f ca="1">SUMIF(June!B16:B79,'Average Profit Margin'!M17,June!J16:J18)</f>
        <v>1076</v>
      </c>
      <c r="T17" s="2">
        <f t="shared" ca="1" si="1"/>
        <v>4380</v>
      </c>
      <c r="W17" s="2" t="str">
        <v>Markers</v>
      </c>
      <c r="X17" s="2">
        <f ca="1">SUMIF(January!B16:B79,'Average Profit Margin'!W17,January!K16:K18)</f>
        <v>493</v>
      </c>
      <c r="Y17" s="2">
        <f ca="1">SUMIF(February!B16:B79,'Average Profit Margin'!W17,February!K16:K18)</f>
        <v>352</v>
      </c>
      <c r="Z17" s="2">
        <f ca="1">SUMIF(March!B16:B79,'Average Profit Margin'!W17,March!K16:K18)</f>
        <v>435</v>
      </c>
      <c r="AA17" s="2">
        <f ca="1">SUMIF(April!B16:B79,'Average Profit Margin'!W17,April!K16:K18)</f>
        <v>734</v>
      </c>
      <c r="AB17" s="2">
        <f ca="1">SUMIF(May!B16:B79,'Average Profit Margin'!W17,May!K16:K18)</f>
        <v>602</v>
      </c>
      <c r="AC17" s="2">
        <f ca="1">SUMIF(June!B16:B79,'Average Profit Margin'!W17,June!K16:K18)</f>
        <v>849</v>
      </c>
      <c r="AD17" s="2">
        <f t="shared" ca="1" si="2"/>
        <v>3465</v>
      </c>
    </row>
    <row r="18" spans="1:30" x14ac:dyDescent="0.25">
      <c r="A18" s="2" t="str">
        <v>Water Colors and Oil paints</v>
      </c>
      <c r="B18" s="2">
        <f ca="1">SUMIF(January!B17:B80,'Average Profit Margin'!A18,January!I17:I19)</f>
        <v>7590</v>
      </c>
      <c r="C18" s="2">
        <f ca="1">SUMIF(February!B17:B80,'Average Profit Margin'!A18,February!I17:I19)</f>
        <v>3835</v>
      </c>
      <c r="D18" s="2">
        <f ca="1">SUMIF(March!B17:B80,'Average Profit Margin'!A18,March!I17:I19)</f>
        <v>8070</v>
      </c>
      <c r="E18" s="2">
        <f ca="1">SUMIF(April!B17:B80,'Average Profit Margin'!A18,April!I17:I19)</f>
        <v>13540</v>
      </c>
      <c r="F18" s="2">
        <f ca="1">SUMIF(May!B17:B80,'Average Profit Margin'!A18,May!I17:I19)</f>
        <v>10055</v>
      </c>
      <c r="G18" s="2">
        <f ca="1">SUMIF(June!B17:B80,'Average Profit Margin'!A18,June!I17:I19)</f>
        <v>20585</v>
      </c>
      <c r="H18" s="2">
        <f t="shared" ca="1" si="0"/>
        <v>63675</v>
      </c>
      <c r="M18" s="2" t="str">
        <v>Water Colors and Oil paints</v>
      </c>
      <c r="N18" s="2">
        <f ca="1">SUMIF(January!B17:B80,'Average Profit Margin'!M18,January!J17:J19)</f>
        <v>5865</v>
      </c>
      <c r="O18" s="2">
        <f ca="1">SUMIF(February!B17:B80,'Average Profit Margin'!M18,February!J17:J19)</f>
        <v>2955</v>
      </c>
      <c r="P18" s="2">
        <f ca="1">SUMIF(March!B17:B80,'Average Profit Margin'!M18,March!J17:J19)</f>
        <v>6270</v>
      </c>
      <c r="Q18" s="2">
        <f ca="1">SUMIF(April!B17:B80,'Average Profit Margin'!M18,April!J17:J19)</f>
        <v>10465</v>
      </c>
      <c r="R18" s="2">
        <f ca="1">SUMIF(May!B17:B80,'Average Profit Margin'!M18,May!J17:J19)</f>
        <v>7785</v>
      </c>
      <c r="S18" s="2">
        <f ca="1">SUMIF(June!B17:B80,'Average Profit Margin'!M18,June!J17:J19)</f>
        <v>15925</v>
      </c>
      <c r="T18" s="2">
        <f t="shared" ca="1" si="1"/>
        <v>49265</v>
      </c>
      <c r="W18" s="2" t="str">
        <v>Water Colors and Oil paints</v>
      </c>
      <c r="X18" s="2">
        <f ca="1">SUMIF(January!B17:B80,'Average Profit Margin'!W18,January!K17:K19)</f>
        <v>1725</v>
      </c>
      <c r="Y18" s="2">
        <f ca="1">SUMIF(February!B17:B80,'Average Profit Margin'!W18,February!K17:K19)</f>
        <v>880</v>
      </c>
      <c r="Z18" s="2">
        <f ca="1">SUMIF(March!B17:B80,'Average Profit Margin'!W18,March!K17:K19)</f>
        <v>1800</v>
      </c>
      <c r="AA18" s="2">
        <f ca="1">SUMIF(April!B17:B80,'Average Profit Margin'!W18,April!K17:K19)</f>
        <v>3075</v>
      </c>
      <c r="AB18" s="2">
        <f ca="1">SUMIF(May!B17:B80,'Average Profit Margin'!W18,May!K17:K19)</f>
        <v>2270</v>
      </c>
      <c r="AC18" s="2">
        <f ca="1">SUMIF(June!B17:B80,'Average Profit Margin'!W18,June!K17:K19)</f>
        <v>4660</v>
      </c>
      <c r="AD18" s="2">
        <f t="shared" ca="1" si="2"/>
        <v>14410</v>
      </c>
    </row>
    <row r="19" spans="1:30" x14ac:dyDescent="0.25">
      <c r="A19" s="2" t="str">
        <v>Notebook Cover</v>
      </c>
      <c r="B19" s="2">
        <f ca="1">SUMIF(January!B18:B81,'Average Profit Margin'!A19,January!I18:I20)</f>
        <v>1135</v>
      </c>
      <c r="C19" s="2">
        <f ca="1">SUMIF(February!B18:B81,'Average Profit Margin'!A19,February!I18:I20)</f>
        <v>590</v>
      </c>
      <c r="D19" s="2">
        <f ca="1">SUMIF(March!B18:B81,'Average Profit Margin'!A19,March!I18:I20)</f>
        <v>1315</v>
      </c>
      <c r="E19" s="2">
        <f ca="1">SUMIF(April!B18:B81,'Average Profit Margin'!A19,April!I18:I20)</f>
        <v>1885</v>
      </c>
      <c r="F19" s="2">
        <f ca="1">SUMIF(May!B18:B81,'Average Profit Margin'!A19,May!I18:I20)</f>
        <v>1350</v>
      </c>
      <c r="G19" s="2">
        <f ca="1">SUMIF(June!B18:B81,'Average Profit Margin'!A19,June!I18:I20)</f>
        <v>3005</v>
      </c>
      <c r="H19" s="2">
        <f t="shared" ca="1" si="0"/>
        <v>9280</v>
      </c>
      <c r="M19" s="2" t="str">
        <v>Notebook Cover</v>
      </c>
      <c r="N19" s="2">
        <f ca="1">SUMIF(January!B18:B81,'Average Profit Margin'!M19,January!J18:J20)</f>
        <v>705</v>
      </c>
      <c r="O19" s="2">
        <f ca="1">SUMIF(February!B18:B81,'Average Profit Margin'!M19,February!J18:J20)</f>
        <v>367</v>
      </c>
      <c r="P19" s="2">
        <f ca="1">SUMIF(March!B18:B81,'Average Profit Margin'!M19,March!J18:J20)</f>
        <v>820</v>
      </c>
      <c r="Q19" s="2">
        <f ca="1">SUMIF(April!B18:B81,'Average Profit Margin'!M19,April!J18:J20)</f>
        <v>1172</v>
      </c>
      <c r="R19" s="2">
        <f ca="1">SUMIF(May!B18:B81,'Average Profit Margin'!M19,May!J18:J20)</f>
        <v>841</v>
      </c>
      <c r="S19" s="2">
        <f ca="1">SUMIF(June!B18:B81,'Average Profit Margin'!M19,June!J18:J20)</f>
        <v>1868</v>
      </c>
      <c r="T19" s="2">
        <f t="shared" ca="1" si="1"/>
        <v>5773</v>
      </c>
      <c r="W19" s="2" t="str">
        <v>Notebook Cover</v>
      </c>
      <c r="X19" s="2">
        <f ca="1">SUMIF(January!B18:B81,'Average Profit Margin'!W19,January!K18:K20)</f>
        <v>430</v>
      </c>
      <c r="Y19" s="2">
        <f ca="1">SUMIF(February!B18:B81,'Average Profit Margin'!W19,February!K18:K20)</f>
        <v>223</v>
      </c>
      <c r="Z19" s="2">
        <f ca="1">SUMIF(March!B18:B81,'Average Profit Margin'!W19,March!K18:K20)</f>
        <v>495</v>
      </c>
      <c r="AA19" s="2">
        <f ca="1">SUMIF(April!B18:B81,'Average Profit Margin'!W19,April!K18:K20)</f>
        <v>713</v>
      </c>
      <c r="AB19" s="2">
        <f ca="1">SUMIF(May!B18:B81,'Average Profit Margin'!W19,May!K18:K20)</f>
        <v>509</v>
      </c>
      <c r="AC19" s="2">
        <f ca="1">SUMIF(June!B18:B81,'Average Profit Margin'!W19,June!K18:K20)</f>
        <v>1137</v>
      </c>
      <c r="AD19" s="2">
        <f t="shared" ca="1" si="2"/>
        <v>3507</v>
      </c>
    </row>
    <row r="20" spans="1:30" x14ac:dyDescent="0.25">
      <c r="A20" s="2" t="str">
        <v>A4 Sheets</v>
      </c>
      <c r="B20" s="2">
        <f ca="1">SUMIF(January!B19:B82,'Average Profit Margin'!A20,January!I19:I21)</f>
        <v>484</v>
      </c>
      <c r="C20" s="2">
        <f ca="1">SUMIF(February!B19:B82,'Average Profit Margin'!A20,February!I19:I21)</f>
        <v>367</v>
      </c>
      <c r="D20" s="2">
        <f ca="1">SUMIF(March!B19:B82,'Average Profit Margin'!A20,March!I19:I21)</f>
        <v>491</v>
      </c>
      <c r="E20" s="2">
        <f ca="1">SUMIF(April!B19:B82,'Average Profit Margin'!A20,April!I19:I21)</f>
        <v>652</v>
      </c>
      <c r="F20" s="2">
        <f ca="1">SUMIF(May!B19:B82,'Average Profit Margin'!A20,May!I19:I21)</f>
        <v>839</v>
      </c>
      <c r="G20" s="2">
        <f ca="1">SUMIF(June!B19:B82,'Average Profit Margin'!A20,June!I19:I21)</f>
        <v>1164</v>
      </c>
      <c r="H20" s="2">
        <f t="shared" ca="1" si="0"/>
        <v>3997</v>
      </c>
      <c r="M20" s="2" t="str">
        <v>A4 Sheets</v>
      </c>
      <c r="N20" s="2">
        <f ca="1">SUMIF(January!B19:B82,'Average Profit Margin'!M20,January!J19:J21)</f>
        <v>242</v>
      </c>
      <c r="O20" s="2">
        <f ca="1">SUMIF(February!B19:B82,'Average Profit Margin'!M20,February!J19:J21)</f>
        <v>184</v>
      </c>
      <c r="P20" s="2">
        <f ca="1">SUMIF(March!B19:B82,'Average Profit Margin'!M20,March!J19:J21)</f>
        <v>251</v>
      </c>
      <c r="Q20" s="2">
        <f ca="1">SUMIF(April!B19:B82,'Average Profit Margin'!M20,April!J19:J21)</f>
        <v>326</v>
      </c>
      <c r="R20" s="2">
        <f ca="1">SUMIF(May!B19:B82,'Average Profit Margin'!M20,May!J19:J21)</f>
        <v>430</v>
      </c>
      <c r="S20" s="2">
        <f ca="1">SUMIF(June!B19:B82,'Average Profit Margin'!M20,June!J19:J21)</f>
        <v>582</v>
      </c>
      <c r="T20" s="2">
        <f t="shared" ca="1" si="1"/>
        <v>2015</v>
      </c>
      <c r="W20" s="2" t="str">
        <v>A4 Sheets</v>
      </c>
      <c r="X20" s="2">
        <f ca="1">SUMIF(January!B19:B82,'Average Profit Margin'!W20,January!K19:K21)</f>
        <v>242</v>
      </c>
      <c r="Y20" s="2">
        <f ca="1">SUMIF(February!B19:B82,'Average Profit Margin'!W20,February!K19:K21)</f>
        <v>183</v>
      </c>
      <c r="Z20" s="2">
        <f ca="1">SUMIF(March!B19:B82,'Average Profit Margin'!W20,March!K19:K21)</f>
        <v>240</v>
      </c>
      <c r="AA20" s="2">
        <f ca="1">SUMIF(April!B19:B82,'Average Profit Margin'!W20,April!K19:K21)</f>
        <v>326</v>
      </c>
      <c r="AB20" s="2">
        <f ca="1">SUMIF(May!B19:B82,'Average Profit Margin'!W20,May!K19:K21)</f>
        <v>409</v>
      </c>
      <c r="AC20" s="2">
        <f ca="1">SUMIF(June!B19:B82,'Average Profit Margin'!W20,June!K19:K21)</f>
        <v>582</v>
      </c>
      <c r="AD20" s="2">
        <f t="shared" ca="1" si="2"/>
        <v>1982</v>
      </c>
    </row>
    <row r="22" spans="1:30" x14ac:dyDescent="0.25">
      <c r="A22" s="13" t="s">
        <v>140</v>
      </c>
    </row>
    <row r="23" spans="1:30" ht="28.5" x14ac:dyDescent="0.25">
      <c r="A23" t="s">
        <v>18</v>
      </c>
      <c r="B23" t="s">
        <v>7</v>
      </c>
      <c r="C23" t="s">
        <v>8</v>
      </c>
      <c r="D23" t="s">
        <v>133</v>
      </c>
      <c r="E23" t="s">
        <v>142</v>
      </c>
      <c r="I23" s="38" t="s">
        <v>18</v>
      </c>
      <c r="J23" s="38" t="s">
        <v>143</v>
      </c>
    </row>
    <row r="24" spans="1:30" x14ac:dyDescent="0.25">
      <c r="A24" t="str" cm="1">
        <f t="array" ref="A24:A41">_xlfn.UNIQUE(January!B2:B65)</f>
        <v>Spiral Notebook</v>
      </c>
      <c r="B24" s="2">
        <v>76640</v>
      </c>
      <c r="C24" s="2">
        <v>63870</v>
      </c>
      <c r="D24" s="2">
        <v>12770</v>
      </c>
      <c r="E24" s="37">
        <f>D24/B24</f>
        <v>0.1666231732776618</v>
      </c>
      <c r="I24" s="39" t="s">
        <v>10</v>
      </c>
      <c r="J24" s="40">
        <v>49.6</v>
      </c>
    </row>
    <row r="25" spans="1:30" x14ac:dyDescent="0.25">
      <c r="A25" t="str">
        <v>Ruled Notebook</v>
      </c>
      <c r="B25" s="2">
        <v>32690</v>
      </c>
      <c r="C25" s="2">
        <v>21750</v>
      </c>
      <c r="D25" s="2">
        <v>10940</v>
      </c>
      <c r="E25" s="37">
        <f t="shared" ref="E25:E41" si="3">D25/B25</f>
        <v>0.3346589171000306</v>
      </c>
      <c r="I25" s="39" t="s">
        <v>14</v>
      </c>
      <c r="J25" s="40">
        <v>47.1</v>
      </c>
    </row>
    <row r="26" spans="1:30" x14ac:dyDescent="0.25">
      <c r="A26" t="str">
        <v>Unruled Notebook</v>
      </c>
      <c r="B26" s="2">
        <v>11200</v>
      </c>
      <c r="C26" s="2">
        <v>7090</v>
      </c>
      <c r="D26" s="2">
        <v>4110</v>
      </c>
      <c r="E26" s="37">
        <f t="shared" si="3"/>
        <v>0.36696428571428569</v>
      </c>
      <c r="I26" s="39" t="s">
        <v>12</v>
      </c>
      <c r="J26" s="40">
        <v>45.3</v>
      </c>
    </row>
    <row r="27" spans="1:30" x14ac:dyDescent="0.25">
      <c r="A27" t="str">
        <v>Register</v>
      </c>
      <c r="B27" s="2">
        <v>44026</v>
      </c>
      <c r="C27" s="2">
        <v>35890</v>
      </c>
      <c r="D27" s="2">
        <v>8136</v>
      </c>
      <c r="E27" s="37">
        <f t="shared" si="3"/>
        <v>0.18479989097351565</v>
      </c>
      <c r="I27" s="39" t="s">
        <v>32</v>
      </c>
      <c r="J27" s="40">
        <v>33.5</v>
      </c>
    </row>
    <row r="28" spans="1:30" x14ac:dyDescent="0.25">
      <c r="A28" t="str">
        <v>Pencils</v>
      </c>
      <c r="B28" s="2">
        <v>43680</v>
      </c>
      <c r="C28" s="2">
        <v>31545</v>
      </c>
      <c r="D28" s="2">
        <v>12135</v>
      </c>
      <c r="E28" s="37">
        <f t="shared" si="3"/>
        <v>0.27781593406593408</v>
      </c>
      <c r="I28" s="39" t="s">
        <v>81</v>
      </c>
      <c r="J28" s="40">
        <v>28.9</v>
      </c>
    </row>
    <row r="29" spans="1:30" x14ac:dyDescent="0.25">
      <c r="A29" t="str">
        <v>Pens</v>
      </c>
      <c r="B29" s="2">
        <v>105270</v>
      </c>
      <c r="C29" s="2">
        <v>81875</v>
      </c>
      <c r="D29" s="2">
        <v>23395</v>
      </c>
      <c r="E29" s="37">
        <f t="shared" si="3"/>
        <v>0.22223805452645579</v>
      </c>
      <c r="I29" s="39" t="s">
        <v>13</v>
      </c>
      <c r="J29" s="40">
        <v>22.6</v>
      </c>
    </row>
    <row r="30" spans="1:30" x14ac:dyDescent="0.25">
      <c r="A30" t="str">
        <v>Geometry Box</v>
      </c>
      <c r="B30" s="2">
        <v>33515</v>
      </c>
      <c r="C30" s="2">
        <v>27940</v>
      </c>
      <c r="D30" s="2">
        <v>5575</v>
      </c>
      <c r="E30" s="37">
        <f t="shared" si="3"/>
        <v>0.16634342831567955</v>
      </c>
      <c r="I30" s="39" t="s">
        <v>122</v>
      </c>
      <c r="J30" s="40">
        <v>22.6</v>
      </c>
    </row>
    <row r="31" spans="1:30" x14ac:dyDescent="0.25">
      <c r="A31" t="str">
        <v>Chart Paper</v>
      </c>
      <c r="B31" s="2">
        <v>2936</v>
      </c>
      <c r="C31" s="2">
        <v>1606</v>
      </c>
      <c r="D31" s="2">
        <v>1330</v>
      </c>
      <c r="E31" s="37">
        <f t="shared" si="3"/>
        <v>0.45299727520435967</v>
      </c>
      <c r="I31" s="39" t="s">
        <v>40</v>
      </c>
      <c r="J31" s="40">
        <v>22.2</v>
      </c>
    </row>
    <row r="32" spans="1:30" ht="17.25" customHeight="1" x14ac:dyDescent="0.25">
      <c r="A32" t="str">
        <v>Adhesive</v>
      </c>
      <c r="B32" s="2">
        <v>25375</v>
      </c>
      <c r="C32" s="2">
        <v>19050</v>
      </c>
      <c r="D32" s="2">
        <v>6325</v>
      </c>
      <c r="E32" s="37">
        <f t="shared" si="3"/>
        <v>0.24926108374384237</v>
      </c>
      <c r="I32" s="39" t="s">
        <v>19</v>
      </c>
      <c r="J32" s="40">
        <v>16.7</v>
      </c>
    </row>
    <row r="33" spans="1:10" x14ac:dyDescent="0.25">
      <c r="A33" t="str">
        <v>Color Pencils</v>
      </c>
      <c r="B33" s="2">
        <v>58605</v>
      </c>
      <c r="C33" s="2">
        <v>45370</v>
      </c>
      <c r="D33" s="2">
        <v>13235</v>
      </c>
      <c r="E33" s="37">
        <f t="shared" si="3"/>
        <v>0.22583397321047693</v>
      </c>
      <c r="I33" s="39" t="s">
        <v>11</v>
      </c>
      <c r="J33" s="40">
        <v>16.600000000000001</v>
      </c>
    </row>
    <row r="34" spans="1:10" x14ac:dyDescent="0.25">
      <c r="A34" t="str">
        <v>Project File</v>
      </c>
      <c r="B34" s="2">
        <v>5770</v>
      </c>
      <c r="C34" s="2">
        <v>3704</v>
      </c>
      <c r="D34" s="2">
        <v>2066</v>
      </c>
      <c r="E34" s="37">
        <f t="shared" si="3"/>
        <v>0.35805892547660312</v>
      </c>
    </row>
    <row r="35" spans="1:10" x14ac:dyDescent="0.25">
      <c r="A35" t="str">
        <v>Stapler</v>
      </c>
      <c r="B35" s="2">
        <v>6920</v>
      </c>
      <c r="C35" s="2">
        <v>3664</v>
      </c>
      <c r="D35" s="2">
        <v>3256</v>
      </c>
      <c r="E35" s="37">
        <f t="shared" si="3"/>
        <v>0.47052023121387282</v>
      </c>
    </row>
    <row r="36" spans="1:10" x14ac:dyDescent="0.25">
      <c r="A36" t="str">
        <v>Drawing Book</v>
      </c>
      <c r="B36" s="2">
        <v>27620</v>
      </c>
      <c r="C36" s="2">
        <v>21425</v>
      </c>
      <c r="D36" s="2">
        <v>6195</v>
      </c>
      <c r="E36" s="37">
        <f t="shared" si="3"/>
        <v>0.22429398986241852</v>
      </c>
    </row>
    <row r="37" spans="1:10" x14ac:dyDescent="0.25">
      <c r="A37" t="str">
        <v>Adhesive Tape</v>
      </c>
      <c r="B37" s="2">
        <v>31175</v>
      </c>
      <c r="C37" s="2">
        <v>22165</v>
      </c>
      <c r="D37" s="2">
        <v>9010</v>
      </c>
      <c r="E37" s="37">
        <f t="shared" si="3"/>
        <v>0.28901363271852448</v>
      </c>
    </row>
    <row r="38" spans="1:10" x14ac:dyDescent="0.25">
      <c r="A38" t="str">
        <v>Markers</v>
      </c>
      <c r="B38" s="2">
        <v>7845</v>
      </c>
      <c r="C38" s="2">
        <v>4380</v>
      </c>
      <c r="D38" s="2">
        <v>3465</v>
      </c>
      <c r="E38" s="37">
        <f t="shared" si="3"/>
        <v>0.4416826003824092</v>
      </c>
    </row>
    <row r="39" spans="1:10" x14ac:dyDescent="0.25">
      <c r="A39" t="str">
        <v>Water Colors and Oil paints</v>
      </c>
      <c r="B39" s="2">
        <v>63675</v>
      </c>
      <c r="C39" s="2">
        <v>49265</v>
      </c>
      <c r="D39" s="2">
        <v>14410</v>
      </c>
      <c r="E39" s="37">
        <f t="shared" si="3"/>
        <v>0.22630545740086377</v>
      </c>
    </row>
    <row r="40" spans="1:10" x14ac:dyDescent="0.25">
      <c r="A40" t="str">
        <v>Notebook Cover</v>
      </c>
      <c r="B40" s="2">
        <v>9280</v>
      </c>
      <c r="C40" s="2">
        <v>5773</v>
      </c>
      <c r="D40" s="2">
        <v>3507</v>
      </c>
      <c r="E40" s="37">
        <f t="shared" si="3"/>
        <v>0.37790948275862069</v>
      </c>
    </row>
    <row r="41" spans="1:10" x14ac:dyDescent="0.25">
      <c r="A41" t="str">
        <v>A4 Sheets</v>
      </c>
      <c r="B41" s="2">
        <v>3997</v>
      </c>
      <c r="C41" s="2">
        <v>2015</v>
      </c>
      <c r="D41" s="2">
        <v>1982</v>
      </c>
      <c r="E41" s="37">
        <f t="shared" si="3"/>
        <v>0.49587190392794595</v>
      </c>
    </row>
  </sheetData>
  <autoFilter ref="I23:J33" xr:uid="{6057F4A5-2E1D-4CA3-BB2B-656B55F39EC7}">
    <sortState xmlns:xlrd2="http://schemas.microsoft.com/office/spreadsheetml/2017/richdata2" ref="I24:J33">
      <sortCondition descending="1" ref="J23:J33"/>
    </sortState>
  </autoFilter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BFDF-0685-4827-AFE7-D2E3CC5BF575}">
  <dimension ref="A1:B7"/>
  <sheetViews>
    <sheetView zoomScale="159" workbookViewId="0">
      <selection activeCell="W27" sqref="W27"/>
    </sheetView>
  </sheetViews>
  <sheetFormatPr defaultRowHeight="15" x14ac:dyDescent="0.25"/>
  <cols>
    <col min="1" max="1" width="16.28515625" customWidth="1"/>
    <col min="2" max="2" width="10.42578125" customWidth="1"/>
  </cols>
  <sheetData>
    <row r="1" spans="1:2" x14ac:dyDescent="0.25">
      <c r="A1" t="s">
        <v>115</v>
      </c>
      <c r="B1" t="s">
        <v>4</v>
      </c>
    </row>
    <row r="2" spans="1:2" x14ac:dyDescent="0.25">
      <c r="A2" t="s">
        <v>110</v>
      </c>
      <c r="B2">
        <v>998</v>
      </c>
    </row>
    <row r="3" spans="1:2" x14ac:dyDescent="0.25">
      <c r="A3" t="s">
        <v>111</v>
      </c>
      <c r="B3">
        <v>708</v>
      </c>
    </row>
    <row r="4" spans="1:2" x14ac:dyDescent="0.25">
      <c r="A4" t="s">
        <v>116</v>
      </c>
      <c r="B4">
        <v>972</v>
      </c>
    </row>
    <row r="5" spans="1:2" x14ac:dyDescent="0.25">
      <c r="A5" t="s">
        <v>117</v>
      </c>
      <c r="B5">
        <v>1651</v>
      </c>
    </row>
    <row r="6" spans="1:2" x14ac:dyDescent="0.25">
      <c r="A6" t="s">
        <v>96</v>
      </c>
      <c r="B6">
        <v>1298</v>
      </c>
    </row>
    <row r="7" spans="1:2" x14ac:dyDescent="0.25">
      <c r="A7" t="s">
        <v>118</v>
      </c>
      <c r="B7">
        <v>2201</v>
      </c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2C95-9A06-4C6A-994B-E7C6D10756FE}">
  <dimension ref="O1:P19"/>
  <sheetViews>
    <sheetView topLeftCell="O4" zoomScale="167" workbookViewId="0">
      <selection activeCell="W18" sqref="W18"/>
    </sheetView>
  </sheetViews>
  <sheetFormatPr defaultRowHeight="15" x14ac:dyDescent="0.25"/>
  <cols>
    <col min="15" max="15" width="27.42578125" customWidth="1"/>
    <col min="16" max="16" width="18" customWidth="1"/>
  </cols>
  <sheetData>
    <row r="1" spans="15:16" ht="45" x14ac:dyDescent="0.25">
      <c r="O1" s="11" t="s">
        <v>18</v>
      </c>
      <c r="P1" s="11" t="s">
        <v>121</v>
      </c>
    </row>
    <row r="2" spans="15:16" ht="30" x14ac:dyDescent="0.25">
      <c r="O2" s="10" t="s">
        <v>10</v>
      </c>
      <c r="P2" s="10">
        <v>2.62</v>
      </c>
    </row>
    <row r="3" spans="15:16" ht="30" x14ac:dyDescent="0.25">
      <c r="O3" s="10" t="s">
        <v>57</v>
      </c>
      <c r="P3" s="10">
        <v>2.2799999999999998</v>
      </c>
    </row>
    <row r="4" spans="15:16" ht="30" x14ac:dyDescent="0.25">
      <c r="O4" s="10" t="s">
        <v>81</v>
      </c>
      <c r="P4" s="10">
        <v>3.41</v>
      </c>
    </row>
    <row r="5" spans="15:16" ht="30" x14ac:dyDescent="0.25">
      <c r="O5" s="10" t="s">
        <v>12</v>
      </c>
      <c r="P5" s="10">
        <v>2.2400000000000002</v>
      </c>
    </row>
    <row r="6" spans="15:16" ht="30" x14ac:dyDescent="0.25">
      <c r="O6" s="10" t="s">
        <v>13</v>
      </c>
      <c r="P6" s="10">
        <v>1.92</v>
      </c>
    </row>
    <row r="7" spans="15:16" ht="30" x14ac:dyDescent="0.25">
      <c r="O7" s="10" t="s">
        <v>15</v>
      </c>
      <c r="P7" s="10">
        <v>4.3899999999999997</v>
      </c>
    </row>
    <row r="8" spans="15:16" ht="30" x14ac:dyDescent="0.25">
      <c r="O8" s="10" t="s">
        <v>11</v>
      </c>
      <c r="P8" s="10">
        <v>2.88</v>
      </c>
    </row>
    <row r="9" spans="15:16" x14ac:dyDescent="0.25">
      <c r="O9" s="10" t="s">
        <v>17</v>
      </c>
      <c r="P9" s="10">
        <v>2.85</v>
      </c>
    </row>
    <row r="10" spans="15:16" ht="30" x14ac:dyDescent="0.25">
      <c r="O10" s="10" t="s">
        <v>85</v>
      </c>
      <c r="P10" s="10">
        <v>3.99</v>
      </c>
    </row>
    <row r="11" spans="15:16" x14ac:dyDescent="0.25">
      <c r="O11" s="10" t="s">
        <v>38</v>
      </c>
      <c r="P11" s="10">
        <v>1.76</v>
      </c>
    </row>
    <row r="12" spans="15:16" x14ac:dyDescent="0.25">
      <c r="O12" s="10" t="s">
        <v>40</v>
      </c>
      <c r="P12" s="10">
        <v>1.78</v>
      </c>
    </row>
    <row r="13" spans="15:16" ht="30" x14ac:dyDescent="0.25">
      <c r="O13" s="10" t="s">
        <v>80</v>
      </c>
      <c r="P13" s="10">
        <v>1.77</v>
      </c>
    </row>
    <row r="14" spans="15:16" x14ac:dyDescent="0.25">
      <c r="O14" s="10" t="s">
        <v>16</v>
      </c>
      <c r="P14" s="10">
        <v>2.66</v>
      </c>
    </row>
    <row r="15" spans="15:16" ht="45" x14ac:dyDescent="0.25">
      <c r="O15" s="10" t="s">
        <v>32</v>
      </c>
      <c r="P15" s="10">
        <v>2.29</v>
      </c>
    </row>
    <row r="16" spans="15:16" x14ac:dyDescent="0.25">
      <c r="O16" s="10" t="s">
        <v>19</v>
      </c>
      <c r="P16" s="10">
        <v>2.5499999999999998</v>
      </c>
    </row>
    <row r="17" spans="15:16" x14ac:dyDescent="0.25">
      <c r="O17" s="10" t="s">
        <v>14</v>
      </c>
      <c r="P17" s="10">
        <v>2.2999999999999998</v>
      </c>
    </row>
    <row r="18" spans="15:16" x14ac:dyDescent="0.25">
      <c r="O18" s="10" t="s">
        <v>33</v>
      </c>
      <c r="P18" s="10">
        <v>2.81</v>
      </c>
    </row>
    <row r="19" spans="15:16" x14ac:dyDescent="0.25">
      <c r="O19" s="10" t="s">
        <v>122</v>
      </c>
      <c r="P19" s="10">
        <v>4.2300000000000004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E83E-EBF0-4478-A725-F73E2ED3E14C}">
  <dimension ref="A1:J44"/>
  <sheetViews>
    <sheetView zoomScale="166" workbookViewId="0">
      <selection activeCell="M9" sqref="M9"/>
    </sheetView>
  </sheetViews>
  <sheetFormatPr defaultRowHeight="15" x14ac:dyDescent="0.25"/>
  <cols>
    <col min="1" max="1" width="16.42578125" bestFit="1" customWidth="1"/>
    <col min="2" max="2" width="16.42578125" customWidth="1"/>
    <col min="3" max="3" width="12.42578125" bestFit="1" customWidth="1"/>
    <col min="4" max="7" width="16.42578125" customWidth="1"/>
    <col min="8" max="8" width="13.85546875" style="12" bestFit="1" customWidth="1"/>
    <col min="9" max="9" width="21.5703125" bestFit="1" customWidth="1"/>
    <col min="10" max="10" width="23.7109375" bestFit="1" customWidth="1"/>
  </cols>
  <sheetData>
    <row r="1" spans="1:7" s="13" customFormat="1" ht="30" x14ac:dyDescent="0.25">
      <c r="A1" s="11" t="s">
        <v>18</v>
      </c>
      <c r="B1" s="11" t="s">
        <v>7</v>
      </c>
      <c r="C1" s="11" t="s">
        <v>120</v>
      </c>
      <c r="D1" s="11" t="s">
        <v>119</v>
      </c>
    </row>
    <row r="2" spans="1:7" x14ac:dyDescent="0.25">
      <c r="A2" s="10" t="s">
        <v>40</v>
      </c>
      <c r="B2" s="15">
        <v>105270</v>
      </c>
      <c r="C2" s="16">
        <v>0.1784</v>
      </c>
      <c r="D2" s="15">
        <v>105270</v>
      </c>
    </row>
    <row r="3" spans="1:7" x14ac:dyDescent="0.25">
      <c r="A3" s="10" t="s">
        <v>19</v>
      </c>
      <c r="B3" s="15">
        <v>76640</v>
      </c>
      <c r="C3" s="16">
        <v>0.30819999999999997</v>
      </c>
      <c r="D3" s="15">
        <v>181910</v>
      </c>
    </row>
    <row r="4" spans="1:7" ht="30" x14ac:dyDescent="0.25">
      <c r="A4" s="10" t="s">
        <v>82</v>
      </c>
      <c r="B4" s="15">
        <v>63675</v>
      </c>
      <c r="C4" s="16">
        <v>0.41610000000000003</v>
      </c>
      <c r="D4" s="15">
        <v>245585</v>
      </c>
    </row>
    <row r="5" spans="1:7" x14ac:dyDescent="0.25">
      <c r="A5" s="10" t="s">
        <v>13</v>
      </c>
      <c r="B5" s="15">
        <v>58605</v>
      </c>
      <c r="C5" s="16">
        <v>0.51539999999999997</v>
      </c>
      <c r="D5" s="15">
        <v>304190</v>
      </c>
    </row>
    <row r="6" spans="1:7" x14ac:dyDescent="0.25">
      <c r="A6" s="10" t="s">
        <v>16</v>
      </c>
      <c r="B6" s="15">
        <v>44026</v>
      </c>
      <c r="C6" s="16">
        <v>0.59</v>
      </c>
      <c r="D6" s="15">
        <v>348216</v>
      </c>
    </row>
    <row r="7" spans="1:7" x14ac:dyDescent="0.25">
      <c r="A7" s="10" t="s">
        <v>38</v>
      </c>
      <c r="B7" s="15">
        <v>43680</v>
      </c>
      <c r="C7" s="16">
        <v>0.66400000000000003</v>
      </c>
      <c r="D7" s="15">
        <v>391896</v>
      </c>
    </row>
    <row r="8" spans="1:7" x14ac:dyDescent="0.25">
      <c r="A8" s="10" t="s">
        <v>11</v>
      </c>
      <c r="B8" s="15">
        <v>33515</v>
      </c>
      <c r="C8" s="16">
        <v>0.7208</v>
      </c>
      <c r="D8" s="15">
        <v>425411</v>
      </c>
    </row>
    <row r="9" spans="1:7" x14ac:dyDescent="0.25">
      <c r="A9" s="10" t="s">
        <v>32</v>
      </c>
      <c r="B9" s="15">
        <v>32690</v>
      </c>
      <c r="C9" s="16">
        <v>0.7762</v>
      </c>
      <c r="D9" s="15">
        <v>458101</v>
      </c>
    </row>
    <row r="10" spans="1:7" x14ac:dyDescent="0.25">
      <c r="A10" s="10" t="s">
        <v>81</v>
      </c>
      <c r="B10" s="15">
        <v>31175</v>
      </c>
      <c r="C10" s="16">
        <v>0.82899999999999996</v>
      </c>
      <c r="D10" s="15">
        <v>489276</v>
      </c>
      <c r="E10" s="12"/>
      <c r="F10" s="12"/>
      <c r="G10" s="12"/>
    </row>
    <row r="11" spans="1:7" x14ac:dyDescent="0.25">
      <c r="A11" s="10" t="s">
        <v>15</v>
      </c>
      <c r="B11" s="15">
        <v>27620</v>
      </c>
      <c r="C11" s="16">
        <v>0.87580000000000002</v>
      </c>
      <c r="D11" s="15">
        <v>516896</v>
      </c>
      <c r="E11" s="12"/>
      <c r="F11" s="12"/>
      <c r="G11" s="12"/>
    </row>
    <row r="12" spans="1:7" x14ac:dyDescent="0.25">
      <c r="A12" s="10" t="s">
        <v>57</v>
      </c>
      <c r="B12" s="15">
        <v>25375</v>
      </c>
      <c r="C12" s="16">
        <v>0.91879999999999995</v>
      </c>
      <c r="D12" s="15">
        <v>542271</v>
      </c>
      <c r="E12" s="12"/>
      <c r="F12" s="12"/>
      <c r="G12" s="12"/>
    </row>
    <row r="13" spans="1:7" ht="30" x14ac:dyDescent="0.25">
      <c r="A13" s="10" t="s">
        <v>33</v>
      </c>
      <c r="B13" s="15">
        <v>11200</v>
      </c>
      <c r="C13" s="16">
        <v>0.93769999999999998</v>
      </c>
      <c r="D13" s="15">
        <v>553471</v>
      </c>
      <c r="E13" s="12"/>
      <c r="F13" s="12"/>
      <c r="G13" s="12"/>
    </row>
    <row r="14" spans="1:7" x14ac:dyDescent="0.25">
      <c r="A14" s="10" t="s">
        <v>85</v>
      </c>
      <c r="B14" s="15">
        <v>9280</v>
      </c>
      <c r="C14" s="16">
        <v>0.95350000000000001</v>
      </c>
      <c r="D14" s="15">
        <v>562751</v>
      </c>
      <c r="F14" s="12"/>
      <c r="G14" s="12"/>
    </row>
    <row r="15" spans="1:7" x14ac:dyDescent="0.25">
      <c r="A15" s="10" t="s">
        <v>17</v>
      </c>
      <c r="B15" s="15">
        <v>7845</v>
      </c>
      <c r="C15" s="16">
        <v>0.96679999999999999</v>
      </c>
      <c r="D15" s="15">
        <v>570596</v>
      </c>
      <c r="E15" s="12"/>
      <c r="F15" s="12"/>
      <c r="G15" s="12"/>
    </row>
    <row r="16" spans="1:7" x14ac:dyDescent="0.25">
      <c r="A16" s="10" t="s">
        <v>14</v>
      </c>
      <c r="B16" s="15">
        <v>6920</v>
      </c>
      <c r="C16" s="16">
        <v>0.97850000000000004</v>
      </c>
      <c r="D16" s="15">
        <v>577516</v>
      </c>
      <c r="E16" s="12"/>
      <c r="F16" s="12"/>
      <c r="G16" s="12"/>
    </row>
    <row r="17" spans="1:7" x14ac:dyDescent="0.25">
      <c r="A17" s="10" t="s">
        <v>80</v>
      </c>
      <c r="B17" s="15">
        <v>5770</v>
      </c>
      <c r="C17" s="16">
        <v>0.98829999999999996</v>
      </c>
      <c r="D17" s="15">
        <v>583286</v>
      </c>
      <c r="E17" s="12"/>
      <c r="F17" s="12"/>
      <c r="G17" s="12"/>
    </row>
    <row r="18" spans="1:7" x14ac:dyDescent="0.25">
      <c r="A18" s="10" t="s">
        <v>10</v>
      </c>
      <c r="B18" s="15">
        <v>3997</v>
      </c>
      <c r="C18" s="16">
        <v>0.995</v>
      </c>
      <c r="D18" s="15">
        <v>587283</v>
      </c>
      <c r="E18" s="12"/>
      <c r="F18" s="12"/>
      <c r="G18" s="12"/>
    </row>
    <row r="19" spans="1:7" x14ac:dyDescent="0.25">
      <c r="A19" s="10" t="s">
        <v>12</v>
      </c>
      <c r="B19" s="15">
        <v>2936</v>
      </c>
      <c r="C19" s="16">
        <v>1</v>
      </c>
      <c r="D19" s="15">
        <v>590219</v>
      </c>
      <c r="E19" s="12"/>
      <c r="F19" s="12"/>
      <c r="G19" s="12"/>
    </row>
    <row r="20" spans="1:7" x14ac:dyDescent="0.25">
      <c r="E20" s="12"/>
      <c r="F20" s="12"/>
      <c r="G20" s="12"/>
    </row>
    <row r="21" spans="1:7" x14ac:dyDescent="0.25">
      <c r="E21" s="12"/>
      <c r="F21" s="12"/>
      <c r="G21" s="12"/>
    </row>
    <row r="22" spans="1:7" x14ac:dyDescent="0.25">
      <c r="E22" s="12"/>
      <c r="F22" s="12"/>
      <c r="G22" s="12"/>
    </row>
    <row r="23" spans="1:7" x14ac:dyDescent="0.25">
      <c r="E23" s="12"/>
      <c r="F23" s="12"/>
      <c r="G23" s="12"/>
    </row>
    <row r="24" spans="1:7" x14ac:dyDescent="0.25">
      <c r="E24" s="12"/>
      <c r="F24" s="12"/>
      <c r="G24" s="12"/>
    </row>
    <row r="25" spans="1:7" x14ac:dyDescent="0.25">
      <c r="E25" s="12"/>
      <c r="F25" s="12"/>
      <c r="G25" s="12"/>
    </row>
    <row r="26" spans="1:7" x14ac:dyDescent="0.25">
      <c r="E26" s="12"/>
      <c r="F26" s="12"/>
      <c r="G26" s="12"/>
    </row>
    <row r="36" spans="1:10" x14ac:dyDescent="0.25">
      <c r="A36" s="13" t="s">
        <v>108</v>
      </c>
      <c r="B36" s="14" t="s">
        <v>110</v>
      </c>
      <c r="C36" s="14" t="s">
        <v>111</v>
      </c>
      <c r="D36" s="14" t="s">
        <v>94</v>
      </c>
      <c r="E36" s="14" t="s">
        <v>95</v>
      </c>
      <c r="F36" s="14" t="s">
        <v>96</v>
      </c>
      <c r="G36" s="14" t="s">
        <v>97</v>
      </c>
      <c r="H36" s="14" t="s">
        <v>7</v>
      </c>
      <c r="I36" s="14" t="s">
        <v>113</v>
      </c>
      <c r="J36" s="13" t="s">
        <v>114</v>
      </c>
    </row>
    <row r="37" spans="1:10" x14ac:dyDescent="0.25">
      <c r="A37" t="s">
        <v>40</v>
      </c>
      <c r="B37" s="12"/>
      <c r="C37" s="12"/>
      <c r="D37" s="12"/>
      <c r="E37" s="12"/>
      <c r="F37" s="12"/>
      <c r="G37" s="12"/>
      <c r="H37" s="12">
        <v>105270</v>
      </c>
      <c r="I37" s="12"/>
    </row>
    <row r="38" spans="1:10" x14ac:dyDescent="0.25">
      <c r="A38" t="s">
        <v>19</v>
      </c>
      <c r="B38" s="12">
        <v>7360</v>
      </c>
      <c r="C38" s="12">
        <v>4730</v>
      </c>
      <c r="D38" s="12">
        <v>8785</v>
      </c>
      <c r="E38" s="12">
        <v>19925</v>
      </c>
      <c r="F38" s="12">
        <v>11015</v>
      </c>
      <c r="G38" s="12">
        <v>24825</v>
      </c>
      <c r="H38" s="12">
        <f t="shared" ref="H38:H43" si="0">SUM(B38+C38+D38+E38+F38+G38)</f>
        <v>76640</v>
      </c>
      <c r="I38" s="12"/>
    </row>
    <row r="39" spans="1:10" x14ac:dyDescent="0.25">
      <c r="A39" t="s">
        <v>13</v>
      </c>
      <c r="B39" s="12">
        <v>7110</v>
      </c>
      <c r="C39" s="12">
        <v>4405</v>
      </c>
      <c r="D39" s="12">
        <v>8350</v>
      </c>
      <c r="E39" s="12">
        <v>13220</v>
      </c>
      <c r="F39" s="12">
        <v>11090</v>
      </c>
      <c r="G39" s="12">
        <v>14430</v>
      </c>
      <c r="H39" s="12">
        <f t="shared" si="0"/>
        <v>58605</v>
      </c>
      <c r="I39" s="12"/>
    </row>
    <row r="40" spans="1:10" x14ac:dyDescent="0.25">
      <c r="A40" t="s">
        <v>38</v>
      </c>
      <c r="B40" s="12">
        <v>7120</v>
      </c>
      <c r="C40" s="12">
        <v>5100</v>
      </c>
      <c r="D40" s="12">
        <v>6140</v>
      </c>
      <c r="E40" s="12">
        <v>9060</v>
      </c>
      <c r="F40" s="12">
        <v>5940</v>
      </c>
      <c r="G40" s="12">
        <v>10320</v>
      </c>
      <c r="H40" s="12">
        <f t="shared" si="0"/>
        <v>43680</v>
      </c>
      <c r="I40" s="12"/>
    </row>
    <row r="41" spans="1:10" x14ac:dyDescent="0.25">
      <c r="A41" t="s">
        <v>109</v>
      </c>
      <c r="B41" s="12">
        <v>3035</v>
      </c>
      <c r="C41" s="12">
        <v>2250</v>
      </c>
      <c r="D41" s="12">
        <v>3520</v>
      </c>
      <c r="E41" s="12">
        <v>6905</v>
      </c>
      <c r="F41" s="12">
        <v>4480</v>
      </c>
      <c r="G41" s="12">
        <v>10500</v>
      </c>
      <c r="H41" s="12">
        <f t="shared" si="0"/>
        <v>30690</v>
      </c>
      <c r="I41" s="12"/>
    </row>
    <row r="42" spans="1:10" x14ac:dyDescent="0.25">
      <c r="A42" t="s">
        <v>57</v>
      </c>
      <c r="B42" s="12">
        <v>3875</v>
      </c>
      <c r="C42" s="12">
        <v>3110</v>
      </c>
      <c r="D42" s="12">
        <v>3375</v>
      </c>
      <c r="E42" s="12">
        <v>4515</v>
      </c>
      <c r="F42" s="12">
        <v>4370</v>
      </c>
      <c r="G42" s="12">
        <v>6130</v>
      </c>
      <c r="H42" s="12">
        <f t="shared" si="0"/>
        <v>25375</v>
      </c>
      <c r="I42" s="12"/>
    </row>
    <row r="43" spans="1:10" x14ac:dyDescent="0.25">
      <c r="A43" t="s">
        <v>17</v>
      </c>
      <c r="B43" s="12">
        <v>1115</v>
      </c>
      <c r="C43" s="12">
        <v>800</v>
      </c>
      <c r="D43" s="12">
        <v>985</v>
      </c>
      <c r="E43" s="12">
        <v>1670</v>
      </c>
      <c r="F43" s="12">
        <v>1350</v>
      </c>
      <c r="G43" s="12">
        <v>1925</v>
      </c>
      <c r="H43" s="12">
        <f t="shared" si="0"/>
        <v>7845</v>
      </c>
      <c r="I43" s="12"/>
    </row>
    <row r="44" spans="1:10" x14ac:dyDescent="0.25">
      <c r="B44" s="12"/>
      <c r="C44" s="12"/>
      <c r="D44" s="12"/>
      <c r="E44" s="12"/>
      <c r="F44" s="12"/>
      <c r="G44" s="12" t="s">
        <v>112</v>
      </c>
      <c r="H44" s="12">
        <f>SUM(H37+H38+H39+H43+H42+H41+H40)</f>
        <v>348105</v>
      </c>
      <c r="I44" s="12"/>
    </row>
  </sheetData>
  <autoFilter ref="B1:B19" xr:uid="{5649E83E-EBF0-4478-A725-F73E2ED3E14C}">
    <sortState xmlns:xlrd2="http://schemas.microsoft.com/office/spreadsheetml/2017/richdata2" ref="A2:D19">
      <sortCondition descending="1" ref="B1:B19"/>
    </sortState>
  </autoFilter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DFCD-07B6-4789-B43F-73225BF896FE}">
  <dimension ref="A1:B11"/>
  <sheetViews>
    <sheetView workbookViewId="0">
      <selection activeCell="J32" sqref="J32"/>
    </sheetView>
  </sheetViews>
  <sheetFormatPr defaultRowHeight="15" x14ac:dyDescent="0.25"/>
  <cols>
    <col min="1" max="1" width="38.28515625" customWidth="1"/>
    <col min="2" max="2" width="25.7109375" customWidth="1"/>
  </cols>
  <sheetData>
    <row r="1" spans="1:2" x14ac:dyDescent="0.25">
      <c r="A1" t="s">
        <v>98</v>
      </c>
      <c r="B1" t="s">
        <v>4</v>
      </c>
    </row>
    <row r="2" spans="1:2" x14ac:dyDescent="0.25">
      <c r="A2" s="10" t="s">
        <v>41</v>
      </c>
      <c r="B2" s="10">
        <v>217</v>
      </c>
    </row>
    <row r="3" spans="1:2" x14ac:dyDescent="0.25">
      <c r="A3" s="10" t="s">
        <v>99</v>
      </c>
      <c r="B3" s="10">
        <v>208</v>
      </c>
    </row>
    <row r="4" spans="1:2" x14ac:dyDescent="0.25">
      <c r="A4" s="10" t="s">
        <v>100</v>
      </c>
      <c r="B4" s="10">
        <v>195</v>
      </c>
    </row>
    <row r="5" spans="1:2" x14ac:dyDescent="0.25">
      <c r="A5" s="10" t="s">
        <v>101</v>
      </c>
      <c r="B5" s="10">
        <v>191</v>
      </c>
    </row>
    <row r="6" spans="1:2" x14ac:dyDescent="0.25">
      <c r="A6" s="10" t="s">
        <v>102</v>
      </c>
      <c r="B6" s="10">
        <v>186</v>
      </c>
    </row>
    <row r="7" spans="1:2" x14ac:dyDescent="0.25">
      <c r="A7" s="10" t="s">
        <v>103</v>
      </c>
      <c r="B7" s="10">
        <v>178</v>
      </c>
    </row>
    <row r="8" spans="1:2" x14ac:dyDescent="0.25">
      <c r="A8" s="10" t="s">
        <v>104</v>
      </c>
      <c r="B8" s="10">
        <v>170</v>
      </c>
    </row>
    <row r="9" spans="1:2" x14ac:dyDescent="0.25">
      <c r="A9" s="10" t="s">
        <v>105</v>
      </c>
      <c r="B9" s="10">
        <v>165</v>
      </c>
    </row>
    <row r="10" spans="1:2" x14ac:dyDescent="0.25">
      <c r="A10" s="10" t="s">
        <v>106</v>
      </c>
      <c r="B10" s="10">
        <v>160</v>
      </c>
    </row>
    <row r="11" spans="1:2" x14ac:dyDescent="0.25">
      <c r="A11" s="10" t="s">
        <v>107</v>
      </c>
      <c r="B11" s="10">
        <v>155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15C4-32ED-49CF-9969-8267553CD730}">
  <dimension ref="A1:G9"/>
  <sheetViews>
    <sheetView topLeftCell="E6" zoomScale="141" workbookViewId="0">
      <selection activeCell="S8" sqref="S8"/>
    </sheetView>
  </sheetViews>
  <sheetFormatPr defaultRowHeight="15" x14ac:dyDescent="0.25"/>
  <cols>
    <col min="1" max="1" width="22.140625" bestFit="1" customWidth="1"/>
  </cols>
  <sheetData>
    <row r="1" spans="1:7" ht="24" x14ac:dyDescent="0.45">
      <c r="A1" s="20" t="s">
        <v>129</v>
      </c>
      <c r="B1" s="19"/>
      <c r="C1" s="19"/>
      <c r="D1" s="19"/>
    </row>
    <row r="2" spans="1:7" x14ac:dyDescent="0.25">
      <c r="A2" s="8" t="s">
        <v>18</v>
      </c>
      <c r="B2" s="8" t="s">
        <v>123</v>
      </c>
      <c r="C2" s="8" t="s">
        <v>124</v>
      </c>
      <c r="D2" s="8" t="s">
        <v>94</v>
      </c>
      <c r="E2" s="8" t="s">
        <v>95</v>
      </c>
      <c r="F2" s="8" t="s">
        <v>96</v>
      </c>
      <c r="G2" s="8" t="s">
        <v>97</v>
      </c>
    </row>
    <row r="3" spans="1:7" x14ac:dyDescent="0.25">
      <c r="A3" s="6" t="s">
        <v>10</v>
      </c>
      <c r="B3" s="6">
        <v>0.45</v>
      </c>
      <c r="C3" s="6">
        <v>0.28000000000000003</v>
      </c>
      <c r="D3" s="6">
        <v>0.33</v>
      </c>
      <c r="E3" s="6">
        <v>0.41</v>
      </c>
      <c r="F3" s="6">
        <v>0.53</v>
      </c>
      <c r="G3" s="6">
        <v>0.77</v>
      </c>
    </row>
    <row r="4" spans="1:7" x14ac:dyDescent="0.25">
      <c r="A4" s="6" t="s">
        <v>57</v>
      </c>
      <c r="B4" s="6">
        <v>0.47</v>
      </c>
      <c r="C4" s="6">
        <v>0.38</v>
      </c>
      <c r="D4" s="6">
        <v>0.45</v>
      </c>
      <c r="E4" s="6">
        <v>0.56999999999999995</v>
      </c>
      <c r="F4" s="6">
        <v>0.46</v>
      </c>
      <c r="G4" s="6">
        <v>0.57999999999999996</v>
      </c>
    </row>
    <row r="5" spans="1:7" x14ac:dyDescent="0.25">
      <c r="A5" s="6" t="s">
        <v>127</v>
      </c>
      <c r="B5" s="6">
        <v>0.41</v>
      </c>
      <c r="C5" s="6">
        <v>0.25</v>
      </c>
      <c r="D5" s="6">
        <v>0.27</v>
      </c>
      <c r="E5" s="6">
        <v>0.41</v>
      </c>
      <c r="F5" s="6">
        <v>0.37</v>
      </c>
      <c r="G5" s="6">
        <v>0.5</v>
      </c>
    </row>
    <row r="6" spans="1:7" x14ac:dyDescent="0.25">
      <c r="A6" s="6" t="s">
        <v>12</v>
      </c>
      <c r="B6" s="6">
        <v>0.4</v>
      </c>
      <c r="C6" s="6">
        <v>0.32</v>
      </c>
      <c r="D6" s="6">
        <v>0.38</v>
      </c>
      <c r="E6" s="6">
        <v>0.49</v>
      </c>
      <c r="F6" s="6">
        <v>0.68</v>
      </c>
      <c r="G6" s="6">
        <v>1.1399999999999999</v>
      </c>
    </row>
    <row r="7" spans="1:7" x14ac:dyDescent="0.25">
      <c r="A7" s="6" t="s">
        <v>13</v>
      </c>
      <c r="B7" s="6">
        <v>0.54</v>
      </c>
      <c r="C7" s="6">
        <v>0.42</v>
      </c>
      <c r="D7" s="6">
        <v>0.66</v>
      </c>
      <c r="E7" s="6">
        <v>0.92</v>
      </c>
      <c r="F7" s="6">
        <v>0.61</v>
      </c>
      <c r="G7" s="6">
        <v>0.67</v>
      </c>
    </row>
    <row r="8" spans="1:7" x14ac:dyDescent="0.25">
      <c r="A8" s="6" t="s">
        <v>40</v>
      </c>
      <c r="B8" s="6">
        <v>0.62</v>
      </c>
      <c r="C8" s="6">
        <v>0.57999999999999996</v>
      </c>
      <c r="D8" s="6">
        <v>0.71</v>
      </c>
      <c r="E8" s="6">
        <v>0.85</v>
      </c>
      <c r="F8" s="6">
        <v>0.79</v>
      </c>
      <c r="G8" s="6">
        <v>0.92</v>
      </c>
    </row>
    <row r="9" spans="1:7" x14ac:dyDescent="0.25">
      <c r="A9" s="6" t="s">
        <v>128</v>
      </c>
      <c r="B9" s="6">
        <v>0.38</v>
      </c>
      <c r="C9" s="6">
        <v>0.28999999999999998</v>
      </c>
      <c r="D9" s="6">
        <v>0.41</v>
      </c>
      <c r="E9" s="6">
        <v>0.52</v>
      </c>
      <c r="F9" s="6">
        <v>0.55000000000000004</v>
      </c>
      <c r="G9" s="6">
        <v>0.69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4B8C-72EC-406B-B2BD-058FE2FBB311}">
  <dimension ref="A2:C13"/>
  <sheetViews>
    <sheetView topLeftCell="C11" zoomScale="129" workbookViewId="0">
      <selection activeCell="O13" sqref="O13"/>
    </sheetView>
  </sheetViews>
  <sheetFormatPr defaultRowHeight="15" x14ac:dyDescent="0.25"/>
  <cols>
    <col min="1" max="1" width="15.42578125" bestFit="1" customWidth="1"/>
    <col min="2" max="2" width="11.85546875" bestFit="1" customWidth="1"/>
    <col min="3" max="3" width="11" customWidth="1"/>
  </cols>
  <sheetData>
    <row r="2" spans="1:3" s="13" customFormat="1" x14ac:dyDescent="0.25">
      <c r="A2" s="17" t="s">
        <v>18</v>
      </c>
      <c r="B2" s="17" t="s">
        <v>6</v>
      </c>
      <c r="C2" s="17" t="s">
        <v>4</v>
      </c>
    </row>
    <row r="3" spans="1:3" x14ac:dyDescent="0.25">
      <c r="A3" s="2" t="s">
        <v>10</v>
      </c>
      <c r="B3" s="2">
        <v>5</v>
      </c>
      <c r="C3" s="2">
        <v>155</v>
      </c>
    </row>
    <row r="4" spans="1:3" x14ac:dyDescent="0.25">
      <c r="A4" s="2" t="s">
        <v>10</v>
      </c>
      <c r="B4" s="2">
        <v>15</v>
      </c>
      <c r="C4" s="2">
        <v>130</v>
      </c>
    </row>
    <row r="5" spans="1:3" x14ac:dyDescent="0.25">
      <c r="A5" s="2" t="s">
        <v>57</v>
      </c>
      <c r="B5" s="2">
        <v>25</v>
      </c>
      <c r="C5" s="2">
        <v>131</v>
      </c>
    </row>
    <row r="6" spans="1:3" x14ac:dyDescent="0.25">
      <c r="A6" s="2" t="s">
        <v>57</v>
      </c>
      <c r="B6" s="2">
        <v>40</v>
      </c>
      <c r="C6" s="2">
        <v>139</v>
      </c>
    </row>
    <row r="7" spans="1:3" x14ac:dyDescent="0.25">
      <c r="A7" s="2" t="s">
        <v>40</v>
      </c>
      <c r="B7" s="2">
        <v>50</v>
      </c>
      <c r="C7" s="2">
        <v>744</v>
      </c>
    </row>
    <row r="8" spans="1:3" x14ac:dyDescent="0.25">
      <c r="A8" s="2" t="s">
        <v>40</v>
      </c>
      <c r="B8" s="2">
        <v>100</v>
      </c>
      <c r="C8" s="2">
        <v>1313</v>
      </c>
    </row>
    <row r="9" spans="1:3" x14ac:dyDescent="0.25">
      <c r="A9" s="2" t="s">
        <v>19</v>
      </c>
      <c r="B9" s="2">
        <v>120</v>
      </c>
      <c r="C9" s="2">
        <v>191</v>
      </c>
    </row>
    <row r="10" spans="1:3" x14ac:dyDescent="0.25">
      <c r="A10" s="2" t="s">
        <v>19</v>
      </c>
      <c r="B10" s="2">
        <v>185</v>
      </c>
      <c r="C10" s="2">
        <v>152</v>
      </c>
    </row>
    <row r="11" spans="1:3" x14ac:dyDescent="0.25">
      <c r="A11" s="21" t="s">
        <v>11</v>
      </c>
      <c r="B11" s="21">
        <v>155</v>
      </c>
      <c r="C11" s="21">
        <v>53</v>
      </c>
    </row>
    <row r="12" spans="1:3" x14ac:dyDescent="0.25">
      <c r="A12" s="21" t="s">
        <v>11</v>
      </c>
      <c r="B12" s="21">
        <v>200</v>
      </c>
      <c r="C12" s="21">
        <v>54</v>
      </c>
    </row>
    <row r="13" spans="1:3" x14ac:dyDescent="0.25">
      <c r="A13" s="21" t="s">
        <v>11</v>
      </c>
      <c r="B13" s="21">
        <v>250</v>
      </c>
      <c r="C13" s="21">
        <v>58</v>
      </c>
    </row>
  </sheetData>
  <sortState xmlns:xlrd2="http://schemas.microsoft.com/office/spreadsheetml/2017/richdata2" ref="A3:C10">
    <sortCondition ref="A3:A10"/>
  </sortState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F432-DA93-4011-B527-AEEF250C49E8}">
  <dimension ref="A2:C42"/>
  <sheetViews>
    <sheetView topLeftCell="B18" zoomScale="117" workbookViewId="0">
      <selection activeCell="P36" sqref="P36"/>
    </sheetView>
  </sheetViews>
  <sheetFormatPr defaultRowHeight="15" x14ac:dyDescent="0.25"/>
  <cols>
    <col min="1" max="1" width="25.5703125" bestFit="1" customWidth="1"/>
    <col min="2" max="2" width="10.85546875" bestFit="1" customWidth="1"/>
  </cols>
  <sheetData>
    <row r="2" spans="1:3" x14ac:dyDescent="0.25">
      <c r="A2" s="17" t="s">
        <v>132</v>
      </c>
      <c r="B2" s="17" t="s">
        <v>133</v>
      </c>
    </row>
    <row r="3" spans="1:3" x14ac:dyDescent="0.25">
      <c r="A3" s="2" t="s">
        <v>40</v>
      </c>
      <c r="B3" s="28">
        <v>23395</v>
      </c>
    </row>
    <row r="4" spans="1:3" x14ac:dyDescent="0.25">
      <c r="A4" s="2" t="s">
        <v>122</v>
      </c>
      <c r="B4" s="28">
        <v>14410</v>
      </c>
    </row>
    <row r="5" spans="1:3" x14ac:dyDescent="0.25">
      <c r="A5" s="2" t="s">
        <v>13</v>
      </c>
      <c r="B5" s="28">
        <v>13235</v>
      </c>
    </row>
    <row r="6" spans="1:3" x14ac:dyDescent="0.25">
      <c r="A6" s="2" t="s">
        <v>19</v>
      </c>
      <c r="B6" s="28">
        <v>12770</v>
      </c>
    </row>
    <row r="7" spans="1:3" x14ac:dyDescent="0.25">
      <c r="A7" s="2" t="s">
        <v>38</v>
      </c>
      <c r="B7" s="28">
        <v>12135</v>
      </c>
    </row>
    <row r="8" spans="1:3" ht="15.75" thickBot="1" x14ac:dyDescent="0.3">
      <c r="A8" s="31" t="s">
        <v>32</v>
      </c>
      <c r="B8" s="32">
        <v>10940</v>
      </c>
      <c r="C8" s="31"/>
    </row>
    <row r="9" spans="1:3" x14ac:dyDescent="0.25">
      <c r="A9" s="33" t="s">
        <v>135</v>
      </c>
      <c r="B9" s="34">
        <v>54957</v>
      </c>
      <c r="C9" s="33"/>
    </row>
    <row r="25" spans="1:2" ht="28.5" x14ac:dyDescent="0.25">
      <c r="A25" s="42" t="s">
        <v>151</v>
      </c>
      <c r="B25" s="42" t="s">
        <v>152</v>
      </c>
    </row>
    <row r="26" spans="1:2" x14ac:dyDescent="0.25">
      <c r="A26" s="39" t="s">
        <v>153</v>
      </c>
      <c r="B26" s="43">
        <v>35530</v>
      </c>
    </row>
    <row r="27" spans="1:2" x14ac:dyDescent="0.25">
      <c r="A27" s="39" t="s">
        <v>154</v>
      </c>
      <c r="B27" s="43">
        <v>33840</v>
      </c>
    </row>
    <row r="28" spans="1:2" x14ac:dyDescent="0.25">
      <c r="A28" s="39" t="s">
        <v>155</v>
      </c>
      <c r="B28" s="43">
        <v>27820</v>
      </c>
    </row>
    <row r="29" spans="1:2" x14ac:dyDescent="0.25">
      <c r="A29" s="39" t="s">
        <v>156</v>
      </c>
      <c r="B29" s="43">
        <v>15335</v>
      </c>
    </row>
    <row r="30" spans="1:2" x14ac:dyDescent="0.25">
      <c r="A30" s="39" t="s">
        <v>157</v>
      </c>
      <c r="B30" s="43">
        <v>13458</v>
      </c>
    </row>
    <row r="31" spans="1:2" x14ac:dyDescent="0.25">
      <c r="A31" s="39" t="s">
        <v>158</v>
      </c>
      <c r="B31" s="43">
        <v>5575</v>
      </c>
    </row>
    <row r="32" spans="1:2" x14ac:dyDescent="0.25">
      <c r="A32" s="39" t="s">
        <v>85</v>
      </c>
      <c r="B32" s="43">
        <v>3507</v>
      </c>
    </row>
    <row r="33" spans="1:2" x14ac:dyDescent="0.25">
      <c r="A33" s="39" t="s">
        <v>17</v>
      </c>
      <c r="B33" s="43">
        <v>3465</v>
      </c>
    </row>
    <row r="34" spans="1:2" x14ac:dyDescent="0.25">
      <c r="A34" s="39" t="s">
        <v>159</v>
      </c>
      <c r="B34" s="43">
        <v>3312</v>
      </c>
    </row>
    <row r="37" spans="1:2" x14ac:dyDescent="0.25">
      <c r="A37" s="39" t="s">
        <v>151</v>
      </c>
      <c r="B37" s="2" t="s">
        <v>9</v>
      </c>
    </row>
    <row r="38" spans="1:2" x14ac:dyDescent="0.25">
      <c r="A38" s="39" t="s">
        <v>153</v>
      </c>
      <c r="B38" s="43">
        <v>35530</v>
      </c>
    </row>
    <row r="39" spans="1:2" x14ac:dyDescent="0.25">
      <c r="A39" s="39" t="s">
        <v>154</v>
      </c>
      <c r="B39" s="43">
        <v>33840</v>
      </c>
    </row>
    <row r="40" spans="1:2" x14ac:dyDescent="0.25">
      <c r="A40" s="39" t="s">
        <v>155</v>
      </c>
      <c r="B40" s="43">
        <v>27820</v>
      </c>
    </row>
    <row r="41" spans="1:2" x14ac:dyDescent="0.25">
      <c r="A41" s="39" t="s">
        <v>156</v>
      </c>
      <c r="B41" s="43">
        <v>15335</v>
      </c>
    </row>
    <row r="42" spans="1:2" x14ac:dyDescent="0.25">
      <c r="A42" s="39" t="s">
        <v>160</v>
      </c>
      <c r="B42" s="28">
        <f>SUM(B30,B31,B32,B33,B34)</f>
        <v>29317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363A-1B9E-4615-91C1-318BC4D99D31}">
  <dimension ref="A1:G30"/>
  <sheetViews>
    <sheetView tabSelected="1" workbookViewId="0">
      <selection activeCell="K33" sqref="K33"/>
    </sheetView>
  </sheetViews>
  <sheetFormatPr defaultRowHeight="15" x14ac:dyDescent="0.25"/>
  <cols>
    <col min="1" max="1" width="18.85546875" customWidth="1"/>
  </cols>
  <sheetData>
    <row r="1" spans="1:7" ht="18.75" x14ac:dyDescent="0.3">
      <c r="A1" s="29" t="s">
        <v>134</v>
      </c>
      <c r="B1" s="30"/>
      <c r="C1" s="30"/>
      <c r="D1" s="30"/>
    </row>
    <row r="2" spans="1:7" x14ac:dyDescent="0.25">
      <c r="A2" s="22" t="s">
        <v>18</v>
      </c>
      <c r="B2" s="22" t="s">
        <v>123</v>
      </c>
      <c r="C2" s="22" t="s">
        <v>124</v>
      </c>
      <c r="D2" s="22" t="s">
        <v>94</v>
      </c>
      <c r="E2" s="22" t="s">
        <v>95</v>
      </c>
      <c r="F2" s="22" t="s">
        <v>96</v>
      </c>
      <c r="G2" s="22" t="s">
        <v>97</v>
      </c>
    </row>
    <row r="3" spans="1:7" x14ac:dyDescent="0.25">
      <c r="A3" s="23" t="s">
        <v>10</v>
      </c>
      <c r="B3" s="23">
        <v>54</v>
      </c>
      <c r="C3" s="23">
        <v>41</v>
      </c>
      <c r="D3" s="23">
        <v>55</v>
      </c>
      <c r="E3" s="23">
        <v>72</v>
      </c>
      <c r="F3" s="23">
        <v>93</v>
      </c>
      <c r="G3" s="23">
        <v>129</v>
      </c>
    </row>
    <row r="4" spans="1:7" x14ac:dyDescent="0.25">
      <c r="A4" s="23" t="s">
        <v>57</v>
      </c>
      <c r="B4" s="23">
        <v>80</v>
      </c>
      <c r="C4" s="23">
        <v>61</v>
      </c>
      <c r="D4" s="23">
        <v>66</v>
      </c>
      <c r="E4" s="23">
        <v>93</v>
      </c>
      <c r="F4" s="23">
        <v>87</v>
      </c>
      <c r="G4" s="23">
        <v>122</v>
      </c>
    </row>
    <row r="5" spans="1:7" x14ac:dyDescent="0.25">
      <c r="A5" s="23" t="s">
        <v>81</v>
      </c>
      <c r="B5" s="23">
        <v>34</v>
      </c>
      <c r="C5" s="23">
        <v>27</v>
      </c>
      <c r="D5" s="23">
        <v>33</v>
      </c>
      <c r="E5" s="23">
        <v>55</v>
      </c>
      <c r="F5" s="23">
        <v>57</v>
      </c>
      <c r="G5" s="23">
        <v>86</v>
      </c>
    </row>
    <row r="6" spans="1:7" x14ac:dyDescent="0.25">
      <c r="A6" s="23" t="s">
        <v>12</v>
      </c>
      <c r="B6" s="23">
        <v>24</v>
      </c>
      <c r="C6" s="23">
        <v>23</v>
      </c>
      <c r="D6" s="23">
        <v>29</v>
      </c>
      <c r="E6" s="23">
        <v>41</v>
      </c>
      <c r="F6" s="23">
        <v>58</v>
      </c>
      <c r="G6" s="23">
        <v>91</v>
      </c>
    </row>
    <row r="7" spans="1:7" x14ac:dyDescent="0.25">
      <c r="A7" s="23" t="s">
        <v>13</v>
      </c>
      <c r="B7" s="23">
        <v>50</v>
      </c>
      <c r="C7" s="23">
        <v>35</v>
      </c>
      <c r="D7" s="23">
        <v>58</v>
      </c>
      <c r="E7" s="23">
        <v>89</v>
      </c>
      <c r="F7" s="23">
        <v>82</v>
      </c>
      <c r="G7" s="23">
        <v>102</v>
      </c>
    </row>
    <row r="8" spans="1:7" x14ac:dyDescent="0.25">
      <c r="A8" s="23" t="s">
        <v>15</v>
      </c>
      <c r="B8" s="23">
        <v>38</v>
      </c>
      <c r="C8" s="23">
        <v>31</v>
      </c>
      <c r="D8" s="23">
        <v>45</v>
      </c>
      <c r="E8" s="23">
        <v>67</v>
      </c>
      <c r="F8" s="23">
        <v>73</v>
      </c>
      <c r="G8" s="23">
        <v>112</v>
      </c>
    </row>
    <row r="9" spans="1:7" x14ac:dyDescent="0.25">
      <c r="A9" s="23" t="s">
        <v>11</v>
      </c>
      <c r="B9" s="23">
        <v>16</v>
      </c>
      <c r="C9" s="23">
        <v>8</v>
      </c>
      <c r="D9" s="23">
        <v>16</v>
      </c>
      <c r="E9" s="23">
        <v>32</v>
      </c>
      <c r="F9" s="23">
        <v>32</v>
      </c>
      <c r="G9" s="23">
        <v>38</v>
      </c>
    </row>
    <row r="10" spans="1:7" x14ac:dyDescent="0.25">
      <c r="A10" s="23" t="s">
        <v>17</v>
      </c>
      <c r="B10" s="23">
        <v>31</v>
      </c>
      <c r="C10" s="23">
        <v>25</v>
      </c>
      <c r="D10" s="23">
        <v>38</v>
      </c>
      <c r="E10" s="23">
        <v>56</v>
      </c>
      <c r="F10" s="23">
        <v>55</v>
      </c>
      <c r="G10" s="23">
        <v>91</v>
      </c>
    </row>
    <row r="11" spans="1:7" x14ac:dyDescent="0.25">
      <c r="A11" s="23" t="s">
        <v>85</v>
      </c>
      <c r="B11" s="23">
        <v>27</v>
      </c>
      <c r="C11" s="23">
        <v>21</v>
      </c>
      <c r="D11" s="23">
        <v>28</v>
      </c>
      <c r="E11" s="23">
        <v>44</v>
      </c>
      <c r="F11" s="23">
        <v>48</v>
      </c>
      <c r="G11" s="23">
        <v>78</v>
      </c>
    </row>
    <row r="12" spans="1:7" x14ac:dyDescent="0.25">
      <c r="A12" s="23" t="s">
        <v>38</v>
      </c>
      <c r="B12" s="23">
        <v>121</v>
      </c>
      <c r="C12" s="23">
        <v>92</v>
      </c>
      <c r="D12" s="23">
        <v>115</v>
      </c>
      <c r="E12" s="23">
        <v>153</v>
      </c>
      <c r="F12" s="23">
        <v>115</v>
      </c>
      <c r="G12" s="23">
        <v>174</v>
      </c>
    </row>
    <row r="13" spans="1:7" x14ac:dyDescent="0.25">
      <c r="A13" s="23" t="s">
        <v>40</v>
      </c>
      <c r="B13" s="23">
        <v>215</v>
      </c>
      <c r="C13" s="23">
        <v>168</v>
      </c>
      <c r="D13" s="23">
        <v>168</v>
      </c>
      <c r="E13" s="23">
        <v>250</v>
      </c>
      <c r="F13" s="23">
        <v>208</v>
      </c>
      <c r="G13" s="23">
        <v>304</v>
      </c>
    </row>
    <row r="14" spans="1:7" x14ac:dyDescent="0.25">
      <c r="A14" s="23" t="s">
        <v>80</v>
      </c>
      <c r="B14" s="23">
        <v>28</v>
      </c>
      <c r="C14" s="23">
        <v>22</v>
      </c>
      <c r="D14" s="23">
        <v>26</v>
      </c>
      <c r="E14" s="23">
        <v>42</v>
      </c>
      <c r="F14" s="23">
        <v>48</v>
      </c>
      <c r="G14" s="23">
        <v>66</v>
      </c>
    </row>
    <row r="15" spans="1:7" x14ac:dyDescent="0.25">
      <c r="A15" s="23" t="s">
        <v>16</v>
      </c>
      <c r="B15" s="23">
        <v>31</v>
      </c>
      <c r="C15" s="23">
        <v>23</v>
      </c>
      <c r="D15" s="23">
        <v>32</v>
      </c>
      <c r="E15" s="23">
        <v>53</v>
      </c>
      <c r="F15" s="23">
        <v>56</v>
      </c>
      <c r="G15" s="23">
        <v>84</v>
      </c>
    </row>
    <row r="16" spans="1:7" x14ac:dyDescent="0.25">
      <c r="A16" s="23" t="s">
        <v>32</v>
      </c>
      <c r="B16" s="23">
        <v>63</v>
      </c>
      <c r="C16" s="23">
        <v>47</v>
      </c>
      <c r="D16" s="23">
        <v>78</v>
      </c>
      <c r="E16" s="23">
        <v>189</v>
      </c>
      <c r="F16" s="23">
        <v>97</v>
      </c>
      <c r="G16" s="23">
        <v>231</v>
      </c>
    </row>
    <row r="17" spans="1:7" x14ac:dyDescent="0.25">
      <c r="A17" s="23" t="s">
        <v>19</v>
      </c>
      <c r="B17" s="23">
        <v>48</v>
      </c>
      <c r="C17" s="23">
        <v>31</v>
      </c>
      <c r="D17" s="23">
        <v>58</v>
      </c>
      <c r="E17" s="23">
        <v>131</v>
      </c>
      <c r="F17" s="23">
        <v>72</v>
      </c>
      <c r="G17" s="23">
        <v>163</v>
      </c>
    </row>
    <row r="18" spans="1:7" x14ac:dyDescent="0.25">
      <c r="A18" s="23" t="s">
        <v>14</v>
      </c>
      <c r="B18" s="23">
        <v>23</v>
      </c>
      <c r="C18" s="23">
        <v>16</v>
      </c>
      <c r="D18" s="23">
        <v>22</v>
      </c>
      <c r="E18" s="23">
        <v>36</v>
      </c>
      <c r="F18" s="23">
        <v>35</v>
      </c>
      <c r="G18" s="23">
        <v>54</v>
      </c>
    </row>
    <row r="19" spans="1:7" ht="28.5" x14ac:dyDescent="0.25">
      <c r="A19" s="23" t="s">
        <v>82</v>
      </c>
      <c r="B19" s="23">
        <v>52</v>
      </c>
      <c r="C19" s="23">
        <v>27</v>
      </c>
      <c r="D19" s="23">
        <v>52</v>
      </c>
      <c r="E19" s="23">
        <v>90</v>
      </c>
      <c r="F19" s="23">
        <v>68</v>
      </c>
      <c r="G19" s="23">
        <v>132</v>
      </c>
    </row>
    <row r="23" spans="1:7" x14ac:dyDescent="0.25">
      <c r="A23" s="22" t="s">
        <v>18</v>
      </c>
      <c r="B23" s="22" t="s">
        <v>123</v>
      </c>
      <c r="C23" s="22" t="s">
        <v>124</v>
      </c>
      <c r="D23" s="22" t="s">
        <v>94</v>
      </c>
      <c r="E23" s="22" t="s">
        <v>95</v>
      </c>
      <c r="F23" s="22" t="s">
        <v>96</v>
      </c>
      <c r="G23" s="22" t="s">
        <v>97</v>
      </c>
    </row>
    <row r="24" spans="1:7" x14ac:dyDescent="0.25">
      <c r="A24" s="23" t="s">
        <v>10</v>
      </c>
      <c r="B24" s="23">
        <v>54</v>
      </c>
      <c r="C24" s="23">
        <v>41</v>
      </c>
      <c r="D24" s="23">
        <v>55</v>
      </c>
      <c r="E24" s="23">
        <v>72</v>
      </c>
      <c r="F24" s="23">
        <v>93</v>
      </c>
      <c r="G24" s="23">
        <v>129</v>
      </c>
    </row>
    <row r="25" spans="1:7" x14ac:dyDescent="0.25">
      <c r="A25" s="23" t="s">
        <v>57</v>
      </c>
      <c r="B25" s="23">
        <v>80</v>
      </c>
      <c r="C25" s="23">
        <v>61</v>
      </c>
      <c r="D25" s="23">
        <v>66</v>
      </c>
      <c r="E25" s="23">
        <v>93</v>
      </c>
      <c r="F25" s="23">
        <v>87</v>
      </c>
      <c r="G25" s="23">
        <v>122</v>
      </c>
    </row>
    <row r="26" spans="1:7" x14ac:dyDescent="0.25">
      <c r="A26" s="23"/>
      <c r="B26" s="23"/>
      <c r="C26" s="23"/>
      <c r="D26" s="23"/>
      <c r="E26" s="23"/>
      <c r="F26" s="23"/>
      <c r="G26" s="23"/>
    </row>
    <row r="27" spans="1:7" x14ac:dyDescent="0.25">
      <c r="A27" s="23" t="s">
        <v>32</v>
      </c>
      <c r="B27" s="23">
        <v>63</v>
      </c>
      <c r="C27" s="23">
        <v>47</v>
      </c>
      <c r="D27" s="23">
        <v>78</v>
      </c>
      <c r="E27" s="23">
        <v>189</v>
      </c>
      <c r="F27" s="23">
        <v>97</v>
      </c>
      <c r="G27" s="23">
        <v>231</v>
      </c>
    </row>
    <row r="28" spans="1:7" x14ac:dyDescent="0.25">
      <c r="A28" s="23" t="s">
        <v>19</v>
      </c>
      <c r="B28" s="23">
        <v>48</v>
      </c>
      <c r="C28" s="23">
        <v>31</v>
      </c>
      <c r="D28" s="23">
        <v>58</v>
      </c>
      <c r="E28" s="23">
        <v>131</v>
      </c>
      <c r="F28" s="23">
        <v>72</v>
      </c>
      <c r="G28" s="23">
        <v>163</v>
      </c>
    </row>
    <row r="29" spans="1:7" x14ac:dyDescent="0.25">
      <c r="A29" s="23" t="s">
        <v>38</v>
      </c>
      <c r="B29" s="23">
        <v>121</v>
      </c>
      <c r="C29" s="23">
        <v>92</v>
      </c>
      <c r="D29" s="23">
        <v>115</v>
      </c>
      <c r="E29" s="23">
        <v>153</v>
      </c>
      <c r="F29" s="23">
        <v>115</v>
      </c>
      <c r="G29" s="23">
        <v>174</v>
      </c>
    </row>
    <row r="30" spans="1:7" x14ac:dyDescent="0.25">
      <c r="A30" s="23" t="s">
        <v>40</v>
      </c>
      <c r="B30" s="23">
        <v>215</v>
      </c>
      <c r="C30" s="23">
        <v>168</v>
      </c>
      <c r="D30" s="23">
        <v>168</v>
      </c>
      <c r="E30" s="23">
        <v>250</v>
      </c>
      <c r="F30" s="23">
        <v>208</v>
      </c>
      <c r="G30" s="23">
        <v>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January</vt:lpstr>
      <vt:lpstr>February</vt:lpstr>
      <vt:lpstr>March</vt:lpstr>
      <vt:lpstr>April</vt:lpstr>
      <vt:lpstr>May</vt:lpstr>
      <vt:lpstr>June</vt:lpstr>
      <vt:lpstr>Units Sold vs Units Purchased</vt:lpstr>
      <vt:lpstr>Monthly purchase by category</vt:lpstr>
      <vt:lpstr>Monthly sales trends</vt:lpstr>
      <vt:lpstr>Top selling Products</vt:lpstr>
      <vt:lpstr>Monthy closing stock</vt:lpstr>
      <vt:lpstr>Cummulative sales</vt:lpstr>
      <vt:lpstr>Average Profit Margin</vt:lpstr>
      <vt:lpstr>Inventory Sales</vt:lpstr>
      <vt:lpstr>Stock out</vt:lpstr>
      <vt:lpstr>ABC analysis</vt:lpstr>
      <vt:lpstr>Highest selling</vt:lpstr>
      <vt:lpstr>Turnover Ratio</vt:lpstr>
      <vt:lpstr>Units sold vs Selling price</vt:lpstr>
      <vt:lpstr>Profit Contribution</vt:lpstr>
      <vt:lpstr>Seasonal 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S</dc:creator>
  <cp:lastModifiedBy>Samarth S</cp:lastModifiedBy>
  <cp:lastPrinted>2025-02-19T03:21:22Z</cp:lastPrinted>
  <dcterms:created xsi:type="dcterms:W3CDTF">2025-01-10T18:23:26Z</dcterms:created>
  <dcterms:modified xsi:type="dcterms:W3CDTF">2025-05-03T11:05:10Z</dcterms:modified>
</cp:coreProperties>
</file>